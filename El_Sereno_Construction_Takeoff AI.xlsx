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ob\Dropbox\1 current projects\El Sereno\El Sereno Project Manager\Plan\"/>
    </mc:Choice>
  </mc:AlternateContent>
  <xr:revisionPtr revIDLastSave="0" documentId="8_{86C3AA09-E94C-463D-AE02-933D27E9A4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Building quantities" sheetId="2" r:id="rId2"/>
    <sheet name="MEP" sheetId="3" r:id="rId3"/>
    <sheet name="Measureme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4" l="1"/>
  <c r="B41" i="4"/>
  <c r="B42" i="4" s="1"/>
  <c r="B38" i="4"/>
  <c r="B39" i="4" s="1"/>
  <c r="B37" i="4"/>
  <c r="B40" i="4" s="1"/>
  <c r="C44" i="2" s="1"/>
  <c r="B36" i="4"/>
  <c r="C58" i="2"/>
  <c r="C54" i="2"/>
  <c r="C56" i="2" s="1"/>
  <c r="C48" i="2"/>
  <c r="C47" i="2"/>
  <c r="C41" i="2"/>
  <c r="C33" i="2"/>
  <c r="C34" i="2" s="1"/>
  <c r="C31" i="2"/>
  <c r="C30" i="2"/>
  <c r="C46" i="2" s="1"/>
  <c r="C28" i="2"/>
  <c r="C26" i="2"/>
  <c r="C25" i="2"/>
  <c r="C24" i="2"/>
  <c r="C27" i="2" s="1"/>
  <c r="C11" i="1" s="1"/>
  <c r="C17" i="2"/>
  <c r="C16" i="2"/>
  <c r="C12" i="2"/>
  <c r="C11" i="2"/>
  <c r="C9" i="2"/>
  <c r="C8" i="2"/>
  <c r="C50" i="2" s="1"/>
  <c r="C7" i="2"/>
  <c r="C49" i="2" s="1"/>
  <c r="C6" i="2"/>
  <c r="C53" i="2" s="1"/>
  <c r="C18" i="1"/>
  <c r="C10" i="1"/>
  <c r="C7" i="1"/>
  <c r="C10" i="2" l="1"/>
  <c r="C13" i="2" s="1"/>
  <c r="C29" i="2"/>
  <c r="C39" i="2"/>
  <c r="C40" i="2" s="1"/>
  <c r="C42" i="2" s="1"/>
  <c r="C35" i="2"/>
  <c r="C16" i="1" s="1"/>
  <c r="C36" i="2"/>
  <c r="C37" i="2"/>
  <c r="C15" i="1"/>
  <c r="C45" i="2"/>
  <c r="C51" i="2" s="1"/>
  <c r="C32" i="2"/>
  <c r="C12" i="1" s="1"/>
  <c r="C22" i="2"/>
  <c r="C20" i="2"/>
  <c r="C19" i="2"/>
  <c r="C18" i="2"/>
  <c r="C8" i="1" s="1"/>
  <c r="C55" i="2"/>
  <c r="C17" i="1"/>
  <c r="C14" i="2" l="1"/>
  <c r="C9" i="1" s="1"/>
  <c r="C21" i="2"/>
  <c r="C6" i="1"/>
  <c r="C43" i="2"/>
  <c r="C14" i="1"/>
  <c r="C52" i="2"/>
  <c r="C13" i="1"/>
  <c r="C57" i="2"/>
  <c r="C19" i="1"/>
</calcChain>
</file>

<file path=xl/sharedStrings.xml><?xml version="1.0" encoding="utf-8"?>
<sst xmlns="http://schemas.openxmlformats.org/spreadsheetml/2006/main" count="983" uniqueCount="483">
  <si>
    <t>El Sereno construction takeoff</t>
  </si>
  <si>
    <t>2340 El Sereno Ave, Altadena, CA 91001</t>
  </si>
  <si>
    <t>Trade</t>
  </si>
  <si>
    <t>Primary quantity</t>
  </si>
  <si>
    <t>Quantity</t>
  </si>
  <si>
    <t>Unit</t>
  </si>
  <si>
    <t>Basis / limitation</t>
  </si>
  <si>
    <t>Foundation</t>
  </si>
  <si>
    <t>Continuous footings</t>
  </si>
  <si>
    <t>LF</t>
  </si>
  <si>
    <t>Approx. trace; 12 in x 24 in</t>
  </si>
  <si>
    <t>Slab-on-grade area</t>
  </si>
  <si>
    <t>SF</t>
  </si>
  <si>
    <t>House dimensions + 400 SF garage + 33 SF porch</t>
  </si>
  <si>
    <t>4 in slab concrete, gross</t>
  </si>
  <si>
    <t>CY</t>
  </si>
  <si>
    <t>Footing overlap not deducted</t>
  </si>
  <si>
    <t>Footing concrete, gross</t>
  </si>
  <si>
    <t>Pads separate; no combined pour total</t>
  </si>
  <si>
    <t>Framing</t>
  </si>
  <si>
    <t>Floor joists</t>
  </si>
  <si>
    <t>Slab-on-grade; none shown</t>
  </si>
  <si>
    <t>Ceiling framing</t>
  </si>
  <si>
    <t>House + garage + provisional porch</t>
  </si>
  <si>
    <t>Wall framing, gross one face</t>
  </si>
  <si>
    <t>Includes partitions, gables and openings</t>
  </si>
  <si>
    <t>Drywall</t>
  </si>
  <si>
    <t>Board / soffit face area, net</t>
  </si>
  <si>
    <t>Includes provisional garage / porch and wet walls</t>
  </si>
  <si>
    <t>Stucco</t>
  </si>
  <si>
    <t>Exterior net face area</t>
  </si>
  <si>
    <t>Gable geometry estimate; returns excluded</t>
  </si>
  <si>
    <t>Roofing</t>
  </si>
  <si>
    <t>Sloped roof surface, net</t>
  </si>
  <si>
    <t>Scaled A-5 roof outline at 4:12</t>
  </si>
  <si>
    <t>Shingles + 10% waste</t>
  </si>
  <si>
    <t>SQ</t>
  </si>
  <si>
    <t>One square = 100 SF</t>
  </si>
  <si>
    <t>Floor coverings</t>
  </si>
  <si>
    <t>House usable floor, approx.</t>
  </si>
  <si>
    <t>Finish types unspecified</t>
  </si>
  <si>
    <t>Bath tile allowance</t>
  </si>
  <si>
    <t>Included in house usable floor</t>
  </si>
  <si>
    <t>Other unassigned floor finish</t>
  </si>
  <si>
    <t>MEP scope</t>
  </si>
  <si>
    <t>Plan count / requirement</t>
  </si>
  <si>
    <t>Status</t>
  </si>
  <si>
    <t>Electrical</t>
  </si>
  <si>
    <t>225 amp service</t>
  </si>
  <si>
    <t>EA</t>
  </si>
  <si>
    <t>Shown on A-4</t>
  </si>
  <si>
    <t>Smoke / carbon monoxide symbols</t>
  </si>
  <si>
    <t>4 / 4</t>
  </si>
  <si>
    <t>One additional bedroom smoke alarm allowed</t>
  </si>
  <si>
    <t>Receptacles / lights / switches</t>
  </si>
  <si>
    <t>See MEP</t>
  </si>
  <si>
    <t>Budget allowances; no device layout</t>
  </si>
  <si>
    <t>Plumbing</t>
  </si>
  <si>
    <t>WC / lavatory / shower</t>
  </si>
  <si>
    <t>2 / 2 / 2</t>
  </si>
  <si>
    <t>Drawn fixtures</t>
  </si>
  <si>
    <t>Kitchen / garage sinks</t>
  </si>
  <si>
    <t>1 / 1</t>
  </si>
  <si>
    <t>Water heater</t>
  </si>
  <si>
    <t>Tankless vs 80 gal heat pump conflict</t>
  </si>
  <si>
    <t>Mechanical</t>
  </si>
  <si>
    <t>Heat-pump system</t>
  </si>
  <si>
    <t>system</t>
  </si>
  <si>
    <t>Ductless vs attic FAU conflict</t>
  </si>
  <si>
    <t>Bath fans / hood</t>
  </si>
  <si>
    <t>2 / 1</t>
  </si>
  <si>
    <t>73 CFM bath fans / 250 CFM hood</t>
  </si>
  <si>
    <t>Whole-house ventilation</t>
  </si>
  <si>
    <t>CFM</t>
  </si>
  <si>
    <t>May share a bath fan; extra fan TBD</t>
  </si>
  <si>
    <t>Resolve before ordering: 1,222 SF title vs 1,190.75 SF dimensions; water heater and HVAC equipment conflicts.</t>
  </si>
  <si>
    <t>Measured quantities, plan counts and allowances are labeled. Waste is shown separately in Building quantities. No pricing included.</t>
  </si>
  <si>
    <t>El Sereno construction quantities</t>
  </si>
  <si>
    <t>Net quantities exclude listed waste. Gross framing includes openings.</t>
  </si>
  <si>
    <t>Item</t>
  </si>
  <si>
    <t>Basis</t>
  </si>
  <si>
    <t>Drawing / calculation</t>
  </si>
  <si>
    <t>Area</t>
  </si>
  <si>
    <t>House footprint</t>
  </si>
  <si>
    <t>Dimensioned</t>
  </si>
  <si>
    <t>A-4 p4. Title says 1,222 SF; dimensions give 1,190.75 SF.</t>
  </si>
  <si>
    <t>Garage footprint</t>
  </si>
  <si>
    <t>20 ft x 20 ft</t>
  </si>
  <si>
    <t>Covered porch</t>
  </si>
  <si>
    <t>Plan stated</t>
  </si>
  <si>
    <t>Title area retained; dimension product is 31.60 SF</t>
  </si>
  <si>
    <t>House continuous footing</t>
  </si>
  <si>
    <t>Dimensioned trace</t>
  </si>
  <si>
    <t>S-1 p10, full house perimeter including shared garage line</t>
  </si>
  <si>
    <t>Garage additional footing</t>
  </si>
  <si>
    <t>S-1 p10, no duplicate shared house / garage line</t>
  </si>
  <si>
    <t>Interior bearing footing</t>
  </si>
  <si>
    <t>Scaled</t>
  </si>
  <si>
    <t>S-1, master-bedroom south wall</t>
  </si>
  <si>
    <t>Porch additional footing</t>
  </si>
  <si>
    <t>S-1, west and front porch edges; other edges already included</t>
  </si>
  <si>
    <t>Total continuous footing</t>
  </si>
  <si>
    <t>Calculated</t>
  </si>
  <si>
    <t>Nominal 12 in wide x 24 in deep</t>
  </si>
  <si>
    <t>Continuous footing concrete (gross)</t>
  </si>
  <si>
    <t>Excludes pads; gross volume before slab overlap adjustment</t>
  </si>
  <si>
    <t>P2.0 isolated pads</t>
  </si>
  <si>
    <t>Counted</t>
  </si>
  <si>
    <t>S-1 p10, one internal and one outside east wall; 2 ft x 2 ft x 24 in</t>
  </si>
  <si>
    <t>Pad concrete (gross)</t>
  </si>
  <si>
    <t>Do not combine with slab without intersection adjustment</t>
  </si>
  <si>
    <t>Slab footprint including porch</t>
  </si>
  <si>
    <t>S-1, slab-on-grade throughout</t>
  </si>
  <si>
    <t>4 in slab concrete (gross)</t>
  </si>
  <si>
    <t>Separate gross quantity; no combined footing + slab pour total</t>
  </si>
  <si>
    <t>6 mil under-slab vapor barrier</t>
  </si>
  <si>
    <t>Plan stated / calculated</t>
  </si>
  <si>
    <t>S-1. Add laps after roll selection.</t>
  </si>
  <si>
    <t>Sand layers total 4 in</t>
  </si>
  <si>
    <t>S-1: 2 in sand above + 2 in below membrane</t>
  </si>
  <si>
    <t>Footing #4 longitudinal bars</t>
  </si>
  <si>
    <t>2 top + 2 bottom; excludes laps, bends, hooks</t>
  </si>
  <si>
    <t>Slab #4 at 16 in each way (area method)</t>
  </si>
  <si>
    <t>Approximate</t>
  </si>
  <si>
    <t>S-1. Area / spacing method; final edge bars and laps not included.</t>
  </si>
  <si>
    <t>Floor joist area</t>
  </si>
  <si>
    <t>Not shown</t>
  </si>
  <si>
    <t>S-1 / A-7: slab-on-grade; no raised floor framing</t>
  </si>
  <si>
    <t>House ceiling joist area</t>
  </si>
  <si>
    <t>Dimensioned footprint</t>
  </si>
  <si>
    <t>S-2 p11: CJ1 2x10 at 16 in OC</t>
  </si>
  <si>
    <t>Garage ceiling joist area</t>
  </si>
  <si>
    <t>S-2: CJ1 2x10 at 16 in OC</t>
  </si>
  <si>
    <t>Porch ceiling framing area</t>
  </si>
  <si>
    <t>Provisional</t>
  </si>
  <si>
    <t>Covered porch footprint; final member layout to be confirmed</t>
  </si>
  <si>
    <t>Total ceiling framing area</t>
  </si>
  <si>
    <t>Area coverage only, not lumber lineal feet</t>
  </si>
  <si>
    <t>House perimeter walls, gross one face</t>
  </si>
  <si>
    <t>Includes shared house / garage wall once</t>
  </si>
  <si>
    <t>Garage additional walls, gross one face</t>
  </si>
  <si>
    <t>Garage perimeter less shared house / garage wall</t>
  </si>
  <si>
    <t>Interior partitions, gross one face</t>
  </si>
  <si>
    <t>Scaled / calculated</t>
  </si>
  <si>
    <t>A-4 and S-2; 152.42 LF traced; includes openings</t>
  </si>
  <si>
    <t>Gable walls, gross one face</t>
  </si>
  <si>
    <t>Geometry estimate</t>
  </si>
  <si>
    <t>A-6 / A-7, two house and two garage gable ends</t>
  </si>
  <si>
    <t>Total wall framing, gross one face</t>
  </si>
  <si>
    <t>House + garage + partitions + gables; openings remain in gross area</t>
  </si>
  <si>
    <t>Roof horizontal projection</t>
  </si>
  <si>
    <t>Scaled trace</t>
  </si>
  <si>
    <t>A-5 p5; includes eaves and east roof extension</t>
  </si>
  <si>
    <t>Roof sloped surface, net</t>
  </si>
  <si>
    <t>4:12 slope factor; approximate traced roof outline</t>
  </si>
  <si>
    <t>Class A shingles including 10% waste</t>
  </si>
  <si>
    <t>Order allowance</t>
  </si>
  <si>
    <t>1 roofing square = 100 SF. Round to supplier packages.</t>
  </si>
  <si>
    <t>Underlayment, net</t>
  </si>
  <si>
    <t>Laps and roll coverage not included</t>
  </si>
  <si>
    <t>1/2 in CDX roof sheathing</t>
  </si>
  <si>
    <t>4x8 sheets</t>
  </si>
  <si>
    <t>S-2 roof diaphragm note; 10% waste</t>
  </si>
  <si>
    <t>Gable vents</t>
  </si>
  <si>
    <t>Plan note</t>
  </si>
  <si>
    <t>A-5 note: four vents; A-5 / A-6 dimensions conflict</t>
  </si>
  <si>
    <t>Exposed exterior wall body, gross</t>
  </si>
  <si>
    <t>A-4 / A-6, excludes shared garage wall</t>
  </si>
  <si>
    <t>Stucco including gables, gross</t>
  </si>
  <si>
    <t>7/8 in Portland cement plaster noted on A-6</t>
  </si>
  <si>
    <t>Window and external door deductions</t>
  </si>
  <si>
    <t>Count / schedule</t>
  </si>
  <si>
    <t>A-4 schedules; opening returns and vents excluded</t>
  </si>
  <si>
    <t>Stucco net face area</t>
  </si>
  <si>
    <t>Calculated estimate</t>
  </si>
  <si>
    <t>Includes gable geometry allowance</t>
  </si>
  <si>
    <t>Stucco / lath / WRB area + 5%</t>
  </si>
  <si>
    <t>Allowance</t>
  </si>
  <si>
    <t>A-6 WRB and wire lath; specify layers / laps separately</t>
  </si>
  <si>
    <t>Weep screed, gross perimeter</t>
  </si>
  <si>
    <t>Gross allowance</t>
  </si>
  <si>
    <t>Before deductions at doors and field termination details</t>
  </si>
  <si>
    <t>House perimeter walls, net inside face</t>
  </si>
  <si>
    <t>8 ft wall height; garage-side face measured separately</t>
  </si>
  <si>
    <t>Interior partitions, net both faces</t>
  </si>
  <si>
    <t>Deducts door gaps on both sides; closet faces included</t>
  </si>
  <si>
    <t>Garage walls, net inside face</t>
  </si>
  <si>
    <t>Provisional finish scope</t>
  </si>
  <si>
    <t>8 ft 6 in garage height. Rating / thickness to be resolved.</t>
  </si>
  <si>
    <t>House ceiling area</t>
  </si>
  <si>
    <t>Gross footprint allowance</t>
  </si>
  <si>
    <t>Flat ceiling per A-7; no wall-footprint deduction</t>
  </si>
  <si>
    <t>Garage ceiling area</t>
  </si>
  <si>
    <t>Verify required finish and protection</t>
  </si>
  <si>
    <t>Porch soffit / ceiling finish</t>
  </si>
  <si>
    <t>Exterior approved finish, not ordinary interior board</t>
  </si>
  <si>
    <t>Total board / soffit face area, net</t>
  </si>
  <si>
    <t>Includes wet walls before backer-board substitution and provisional garage / porch</t>
  </si>
  <si>
    <t>Board / soffit face area + 10%</t>
  </si>
  <si>
    <t>Separate types before ordering; area does not set sheet lengths</t>
  </si>
  <si>
    <t>House usable floor, approximate</t>
  </si>
  <si>
    <t>Approximate net</t>
  </si>
  <si>
    <t>Deducts estimated wall footprints. Cabinets / closets remain included.</t>
  </si>
  <si>
    <t>Bathroom tile allowance</t>
  </si>
  <si>
    <t>Finish allowance</t>
  </si>
  <si>
    <t>Two baths; exact finish and shower-floor inclusion unconfirmed</t>
  </si>
  <si>
    <t>Remaining unassigned floor covering</t>
  </si>
  <si>
    <t>Bedroom, living, kitchen, hall and closet areas; finish unspecified</t>
  </si>
  <si>
    <t>Bath tile + 10% waste</t>
  </si>
  <si>
    <t>Final tile format controls cutting loss</t>
  </si>
  <si>
    <t>Other flooring + 10% waste</t>
  </si>
  <si>
    <t>Split into finish types when owner selects materials</t>
  </si>
  <si>
    <t>Garage usable concrete floor</t>
  </si>
  <si>
    <t>No applied garage floor covering specified</t>
  </si>
  <si>
    <t>Electrical, plumbing and mechanical takeoff</t>
  </si>
  <si>
    <t>Counted symbols and equipment are distinguished from budget allowances.</t>
  </si>
  <si>
    <t>Drawing / scope</t>
  </si>
  <si>
    <t>New service / main panel</t>
  </si>
  <si>
    <t>A-4 p4: new 225 amp service; panel circuit schedule not supplied</t>
  </si>
  <si>
    <t>Smoke alarms shown</t>
  </si>
  <si>
    <t>Counted symbols</t>
  </si>
  <si>
    <t>A-4: northwest bedroom, middle west bedroom, master bedroom, living area</t>
  </si>
  <si>
    <t>Additional southwest bedroom smoke alarm</t>
  </si>
  <si>
    <t>Bedroom has no SD symbol on A-4; verify final alarm layout</t>
  </si>
  <si>
    <t>Carbon monoxide alarms shown</t>
  </si>
  <si>
    <t>A-4: same four locations as visible SD symbols</t>
  </si>
  <si>
    <t>Bedroom general duplex receptacles</t>
  </si>
  <si>
    <t>Budget allowance</t>
  </si>
  <si>
    <t>Four per bedroom x four bedrooms; no receptacle plan</t>
  </si>
  <si>
    <t>Living / dining general duplex receptacles</t>
  </si>
  <si>
    <t>No receptacle plan</t>
  </si>
  <si>
    <t>Hall general duplex receptacles</t>
  </si>
  <si>
    <t>Kitchen countertop receptacles</t>
  </si>
  <si>
    <t>GFCI protection allowance; final countertop / island layout required</t>
  </si>
  <si>
    <t>Bathroom receptacles</t>
  </si>
  <si>
    <t>One per bathroom; GFCI protection allowance</t>
  </si>
  <si>
    <t>Garage receptacles</t>
  </si>
  <si>
    <t>GFCI protection allowance; equipment outlets below are separate</t>
  </si>
  <si>
    <t>Exterior weather-resistant receptacles</t>
  </si>
  <si>
    <t>GFCI / weather protection allowance; front and rear</t>
  </si>
  <si>
    <t>Laundry receptacle</t>
  </si>
  <si>
    <t>W/D area A-4; final circuit / GFCI protection to be confirmed</t>
  </si>
  <si>
    <t>Refrigerator connection</t>
  </si>
  <si>
    <t>Not identified by electrical symbol</t>
  </si>
  <si>
    <t>Dishwasher connection</t>
  </si>
  <si>
    <t>Dishwasher not labeled on A-4; kitchen allowance</t>
  </si>
  <si>
    <t>Disposal connection</t>
  </si>
  <si>
    <t>Disposal not labeled on A-4; kitchen allowance</t>
  </si>
  <si>
    <t>Range / cooktop connection</t>
  </si>
  <si>
    <t>Equipment counted</t>
  </si>
  <si>
    <t>A-4 range; electric vs gas connection to be resolved</t>
  </si>
  <si>
    <t>Range hood connection</t>
  </si>
  <si>
    <t>A-4 250 CFM hood</t>
  </si>
  <si>
    <t>Clothes dryer connection</t>
  </si>
  <si>
    <t>A-4 W/D; voltage / fuel TBD</t>
  </si>
  <si>
    <t>Garage opener connection</t>
  </si>
  <si>
    <t>Overhead door shown; opener not scheduled</t>
  </si>
  <si>
    <t>Heat-pump outdoor unit connection</t>
  </si>
  <si>
    <t>A-4 mini-split / T24; breaker and conductor sizing TBD</t>
  </si>
  <si>
    <t>Water heater electrical connection</t>
  </si>
  <si>
    <t>Equipment conflict</t>
  </si>
  <si>
    <t>Tankless ignition vs 80 gal heat-pump dedicated circuit; choose one</t>
  </si>
  <si>
    <t>Bathroom fan connections</t>
  </si>
  <si>
    <t>A-4 fan symbol in each bathroom</t>
  </si>
  <si>
    <t>Bedroom ceiling lights</t>
  </si>
  <si>
    <t>One per bedroom; not fixture symbols</t>
  </si>
  <si>
    <t>Closet lights</t>
  </si>
  <si>
    <t>Five closets; not fixture symbols</t>
  </si>
  <si>
    <t>Hall ceiling lights</t>
  </si>
  <si>
    <t>Fixture layout TBD</t>
  </si>
  <si>
    <t>Bathroom ceiling / vanity lights</t>
  </si>
  <si>
    <t>Two per bathroom; final fixture types TBD</t>
  </si>
  <si>
    <t>Living / dining recessed lights</t>
  </si>
  <si>
    <t>Kitchen recessed lights</t>
  </si>
  <si>
    <t>Garage lights</t>
  </si>
  <si>
    <t>Porch light</t>
  </si>
  <si>
    <t>Other exterior wall lights</t>
  </si>
  <si>
    <t>Switch / dimmer / sensor locations</t>
  </si>
  <si>
    <t>Room / closet / exterior controls; no switch plan</t>
  </si>
  <si>
    <t>Three-way switches</t>
  </si>
  <si>
    <t>TBD</t>
  </si>
  <si>
    <t>Not scheduled</t>
  </si>
  <si>
    <t>No switching layout. Included locations above do not define three-way device counts.</t>
  </si>
  <si>
    <t>AFCI circuit protection</t>
  </si>
  <si>
    <t>circuits</t>
  </si>
  <si>
    <t>Circuit schedule missing; protected outlets are not extra devices</t>
  </si>
  <si>
    <t>GFCI circuit protection</t>
  </si>
  <si>
    <t>Protection may be at breaker or receptacle; do not double-count</t>
  </si>
  <si>
    <t>Branch wire / conduit / feeders</t>
  </si>
  <si>
    <t>Not measurable</t>
  </si>
  <si>
    <t>Routes, circuit schedule, conductor sizes and service distance missing</t>
  </si>
  <si>
    <t>Water closets</t>
  </si>
  <si>
    <t>Counted fixtures</t>
  </si>
  <si>
    <t>A-4: one per bathroom; generic note says (4), conflicts with two drawn</t>
  </si>
  <si>
    <t>Bathroom lavatories</t>
  </si>
  <si>
    <t>A-4: one per bathroom</t>
  </si>
  <si>
    <t>Showers / shower valves</t>
  </si>
  <si>
    <t>A-4: two shower footprints; tub not shown</t>
  </si>
  <si>
    <t>Kitchen sink</t>
  </si>
  <si>
    <t>A-4: double-bowl sink, counted as one fixture</t>
  </si>
  <si>
    <t>Garage utility sink</t>
  </si>
  <si>
    <t>A-4, west garage wall</t>
  </si>
  <si>
    <t>Washer rough-in box / standpipe</t>
  </si>
  <si>
    <t>set</t>
  </si>
  <si>
    <t>A-4 W/D; box / standpipe detail not supplied</t>
  </si>
  <si>
    <t>Dishwasher water / drain connection</t>
  </si>
  <si>
    <t>Dishwasher not labeled; kitchen appliance allowance</t>
  </si>
  <si>
    <t>Exterior hose bibs</t>
  </si>
  <si>
    <t>Legend only; no clearly located HB symbols</t>
  </si>
  <si>
    <t>Tankless water heater (alternate A)</t>
  </si>
  <si>
    <t>Plan stated / conflict</t>
  </si>
  <si>
    <t>A-4 exterior west wall. Alternate to heat-pump heater; do not add both.</t>
  </si>
  <si>
    <t>80 gal heat-pump water heater (alternate B)</t>
  </si>
  <si>
    <t>Energy schedule / conflict</t>
  </si>
  <si>
    <t>T24 Sheet 2 p17: one outdoor unit. Alternate to A-4 tankless.</t>
  </si>
  <si>
    <t>Water heater connection package</t>
  </si>
  <si>
    <t>Hot / cold, shutoff, relief discharge; drain requirements depend on selected heater</t>
  </si>
  <si>
    <t>Water supply rough-in</t>
  </si>
  <si>
    <t>lot</t>
  </si>
  <si>
    <t>Scope allowance</t>
  </si>
  <si>
    <t>2 WC, 2 lavs, 2 showers, kitchen sink, utility sink, washer; fixture route lengths TBD</t>
  </si>
  <si>
    <t>Drain / waste / vent rough-in</t>
  </si>
  <si>
    <t>Same nine fixture / appliance locations; dishwasher added allowance</t>
  </si>
  <si>
    <t>Hot / cold pipe by size</t>
  </si>
  <si>
    <t>No pipe layout / riser; do not infer purchase lengths</t>
  </si>
  <si>
    <t>DWV pipe by size</t>
  </si>
  <si>
    <t>No pipe layout / riser; sewer connection route missing</t>
  </si>
  <si>
    <t>Gas system / seismic shutoff</t>
  </si>
  <si>
    <t>Plan note / conflict</t>
  </si>
  <si>
    <t>A-4 seismic shutoff note; connected appliance fuel choices unresolved</t>
  </si>
  <si>
    <t>Gas piping by size</t>
  </si>
  <si>
    <t>Meter location / routing / appliance loads not scheduled</t>
  </si>
  <si>
    <t>Ductless variable-capacity heat-pump system</t>
  </si>
  <si>
    <t>Energy schedule</t>
  </si>
  <si>
    <t>T24 Sheet 2 p17: approximately 22,000 BTU/h cooling; confirm equipment model</t>
  </si>
  <si>
    <t>Indoor ductless heads</t>
  </si>
  <si>
    <t>One heating / cooling system does not establish indoor head count</t>
  </si>
  <si>
    <t>Attic FAU / hall return (conflicting alternate)</t>
  </si>
  <si>
    <t>A-4. Alternate to ductless equipment; do not add both systems.</t>
  </si>
  <si>
    <t>HVAC refrigerant line sets / drains</t>
  </si>
  <si>
    <t>Indoor equipment locations / routes not supplied</t>
  </si>
  <si>
    <t>Supply ducts / registers / return grille</t>
  </si>
  <si>
    <t>LF / EA</t>
  </si>
  <si>
    <t>Only applies if ducted alternate is selected</t>
  </si>
  <si>
    <t>Bathroom exhaust fans</t>
  </si>
  <si>
    <t>A-4: two fans; legend 73 CFM each</t>
  </si>
  <si>
    <t>Kitchen exhaust hood</t>
  </si>
  <si>
    <t>A-4: 250 CFM; hood / duct size to be selected</t>
  </si>
  <si>
    <t>Whole-house ventilation requirement</t>
  </si>
  <si>
    <t>A-4 IAQ and T24 p17: 73 CFM exhaust. May be integrated with a bathroom fan.</t>
  </si>
  <si>
    <t>Additional dedicated IAQ fan</t>
  </si>
  <si>
    <t>Avoid double-counting a bath fan used for continuous ventilation</t>
  </si>
  <si>
    <t>Dryer exhaust connection</t>
  </si>
  <si>
    <t>W/D shown; ventless dryer choice may remove duct</t>
  </si>
  <si>
    <t>Exhaust duct lengths / terminations</t>
  </si>
  <si>
    <t>Bath / hood / dryer routes and discharge points not drawn</t>
  </si>
  <si>
    <t>El Sereno measurements and assumptions</t>
  </si>
  <si>
    <t>Input / calculation</t>
  </si>
  <si>
    <t>Value</t>
  </si>
  <si>
    <t>Drawing / explanation</t>
  </si>
  <si>
    <t>House width</t>
  </si>
  <si>
    <t>Dimension</t>
  </si>
  <si>
    <t>A-4, PDF p4</t>
  </si>
  <si>
    <t>House length</t>
  </si>
  <si>
    <t>A-4, PDF p4: 36 ft 1 in</t>
  </si>
  <si>
    <t>Garage width</t>
  </si>
  <si>
    <t>Garage length</t>
  </si>
  <si>
    <t>Garage offset from house west wall</t>
  </si>
  <si>
    <t>Porch stated area</t>
  </si>
  <si>
    <t>A-4 title; 5 ft 5 in x 5 ft 10 in = 31.60 SF</t>
  </si>
  <si>
    <t>Porch projection</t>
  </si>
  <si>
    <t>Porch width</t>
  </si>
  <si>
    <t>House wall height</t>
  </si>
  <si>
    <t>FT</t>
  </si>
  <si>
    <t>A-7 section A-A, PDF p7</t>
  </si>
  <si>
    <t>Garage wall height</t>
  </si>
  <si>
    <t>A-7 section B-B, PDF p7</t>
  </si>
  <si>
    <t>House stated floor area</t>
  </si>
  <si>
    <t>A-1 through A-7 titles</t>
  </si>
  <si>
    <t>Main interior bearing footing</t>
  </si>
  <si>
    <t>S-1, PDF p10: master-bedroom south wall</t>
  </si>
  <si>
    <t>Footing width</t>
  </si>
  <si>
    <t>S-1 legend: 12 in wide</t>
  </si>
  <si>
    <t>Footing depth</t>
  </si>
  <si>
    <t>S-1 legend: 24 in deep</t>
  </si>
  <si>
    <t>Slab thickness</t>
  </si>
  <si>
    <t>S-1: 4 in slab</t>
  </si>
  <si>
    <t>Roof rise</t>
  </si>
  <si>
    <t>IN</t>
  </si>
  <si>
    <t>A-5/A-6: 4:12 pitch</t>
  </si>
  <si>
    <t>Roof run</t>
  </si>
  <si>
    <t>Roof projected area</t>
  </si>
  <si>
    <t>A-5 roof outline; calibrated to A-4 house width 33 ft</t>
  </si>
  <si>
    <t>Roof waste</t>
  </si>
  <si>
    <t>ratio</t>
  </si>
  <si>
    <t>Shingles and roof sheathing</t>
  </si>
  <si>
    <t>Drywall waste</t>
  </si>
  <si>
    <t>Area only; final sheet layout required</t>
  </si>
  <si>
    <t>Stucco allowance</t>
  </si>
  <si>
    <t>Waste / returns excluded from net measurement</t>
  </si>
  <si>
    <t>Flooring waste</t>
  </si>
  <si>
    <t>Final finish selection and layout required</t>
  </si>
  <si>
    <t>Exterior wall assembly thickness</t>
  </si>
  <si>
    <t>4.5 in for estimating usable floor area</t>
  </si>
  <si>
    <t>Interior wall assembly thickness</t>
  </si>
  <si>
    <t>5.5 in average; plumbing walls may be wider</t>
  </si>
  <si>
    <t>Bath floor finish allowance</t>
  </si>
  <si>
    <t>Scaled allowance</t>
  </si>
  <si>
    <t>Two bathrooms on A-4; approximate combined usable floor area</t>
  </si>
  <si>
    <t>Interior opening width</t>
  </si>
  <si>
    <t>A-4: 6 interior D1, 5 closet D5, 1 D2; verify D5 labels</t>
  </si>
  <si>
    <t>Door height</t>
  </si>
  <si>
    <t>A-4 door schedule</t>
  </si>
  <si>
    <t>Windows area</t>
  </si>
  <si>
    <t>A-4: W1 x1, W2 x3, W3 x1, W4 x2</t>
  </si>
  <si>
    <t>External house door area</t>
  </si>
  <si>
    <t>A-4: front D1 x1 and external D3 x2</t>
  </si>
  <si>
    <t>House / garage door area</t>
  </si>
  <si>
    <t>A-4: D5 x1 at house / garage separation</t>
  </si>
  <si>
    <t>Garage overhead door area</t>
  </si>
  <si>
    <t>A-4: D4 x1</t>
  </si>
  <si>
    <t>Interior wall length</t>
  </si>
  <si>
    <t>Scaled gross</t>
  </si>
  <si>
    <t>Sum of traced partitions below; includes door gaps</t>
  </si>
  <si>
    <t>House perimeter</t>
  </si>
  <si>
    <t>Rectangular house outline</t>
  </si>
  <si>
    <t>Shared house / garage wall</t>
  </si>
  <si>
    <t>House width less garage offset</t>
  </si>
  <si>
    <t>Garage additional wall length</t>
  </si>
  <si>
    <t>Garage perimeter less shared wall</t>
  </si>
  <si>
    <t>Exterior exposed perimeter</t>
  </si>
  <si>
    <t>House plus garage, deduct shared wall twice</t>
  </si>
  <si>
    <t>House dimensioned footprint</t>
  </si>
  <si>
    <t>33 ft x 36 ft 1 in</t>
  </si>
  <si>
    <t>House area discrepancy</t>
  </si>
  <si>
    <t>Title area less dimensioned footprint</t>
  </si>
  <si>
    <t>Roof slope factor</t>
  </si>
  <si>
    <t>Square root of 1 + (rise / run)^2</t>
  </si>
  <si>
    <t>Partition trace (gross length, includes openings)</t>
  </si>
  <si>
    <t>Wall segment</t>
  </si>
  <si>
    <t>Length</t>
  </si>
  <si>
    <t>Reference</t>
  </si>
  <si>
    <t>Hall west partition including door gaps</t>
  </si>
  <si>
    <t>A-4 / S-2; rounded to nearest inch or half foot</t>
  </si>
  <si>
    <t>Hall east upper partition</t>
  </si>
  <si>
    <t>Master bedroom south bearing wall</t>
  </si>
  <si>
    <t>Northwest bedroom south wall</t>
  </si>
  <si>
    <t>West bath south wall</t>
  </si>
  <si>
    <t>Southwest bedroom north wall</t>
  </si>
  <si>
    <t>West bath east wall</t>
  </si>
  <si>
    <t>Northwest closet side</t>
  </si>
  <si>
    <t>Northwest closet return</t>
  </si>
  <si>
    <t>Master bath east wall</t>
  </si>
  <si>
    <t>Master bath south wall</t>
  </si>
  <si>
    <t>Master closet east wall</t>
  </si>
  <si>
    <t>Master closet south wall</t>
  </si>
  <si>
    <t>Middle west closet side</t>
  </si>
  <si>
    <t>Middle west closet return</t>
  </si>
  <si>
    <t>Southwest closet side</t>
  </si>
  <si>
    <t>Southwest closet return</t>
  </si>
  <si>
    <t>Scope notes and items to resolve</t>
  </si>
  <si>
    <t>Source: El Sereno Approved stamped plans DWGS-UNC-BLDR250722008809-PCF(1).pdf, 18 pages. Project: 2340 El Sereno Ave, Altadena, CA 91001.</t>
  </si>
  <si>
    <t>Quantities are an estimating takeoff from the supplied architectural / structural / energy set. No prices included.</t>
  </si>
  <si>
    <t>Dimensioned house area is 1,190.75 SF; drawing titles say 1,222 SF. Resolve the 31.25 SF discrepancy before ordering slab, flooring or ceiling materials.</t>
  </si>
  <si>
    <t>Porch title is 33 SF; dimension product is 31.60 SF. This takeoff retains 33 SF for porch slab and ceiling.</t>
  </si>
  <si>
    <t>Gross framing SF measures one wall plane, including openings. Drywall SF counts each finished face separately. Do not add them together.</t>
  </si>
  <si>
    <t>Foundation trace: house perimeter, garage perimeter excluding shared segment, master-bedroom bearing line, and two exposed porch sides. Other partitions show no continuous footing hatch.</t>
  </si>
  <si>
    <t>S-1 footing legend is 12 in x 24 in with (2) #4 top and (2) #4 bottom. Two P2.0 pads are 2 ft x 2 ft x 24 in with (6) #5 bars bottom each way.</t>
  </si>
  <si>
    <t>Footing and slab concrete are reported separately as gross volumes. Their intersection, pad overlap, grade elevations and Hardy Frame anchorage can change pour totals. No combined pour total is given.</t>
  </si>
  <si>
    <t>Roof projection includes overhangs, porch and the east side roof extension shown on A-5. A-4 width calibrates the trace. Verify extension footprint before purchase.</t>
  </si>
  <si>
    <t>Roof trace at 0.6 PDF render: vertices (770,209),(1148,209),(1148,328),(1193,328),(1193,599),(1204,599),(1204,837),(966,837),(966,669),(887,669),(887,621),(770,621). Calibration: 353 px = 33 ft.</t>
  </si>
  <si>
    <t>A-5 roof vent note calls for four vents with 2.22 SF each. A-5 labels 16 x 20 in; A-6 labels 12 x 18 in. Verify clear net free area and actual vent sizes.</t>
  </si>
  <si>
    <t>A-4 labels 1/2 in drywall at separation; rated-wall legend is also shown. Board thickness / rating, garage ceiling protection and wet-area backer require detail confirmation.</t>
  </si>
  <si>
    <t>A-4 shows four smoke and four carbon-monoxide symbols. Fourth bedroom lacks a smoke symbol. One additional smoke alarm is an allowance, not a counted symbol.</t>
  </si>
  <si>
    <t>No dedicated electrical device layout, circuit schedule, plumbing riser, pipe routes or HVAC distribution layout is supplied. Missing lengths / sizes are TBD, not zero.</t>
  </si>
  <si>
    <t>Electrical allowances are an estimating scope only. AFCI / GFCI are protection requirements, not additional receptacle counts. Final electrician layout controls.</t>
  </si>
  <si>
    <t>A-4 tankless water heater conflicts with T24 Sheet 2 (PDF p17), one outdoor 80-gallon heat-pump water heater. Quantities are alternate choices; do not purchase both.</t>
  </si>
  <si>
    <t>A-4 attic FAU / hall return conflicts with T24 Sheet 2 ductless heat pump. T24 shows one variable-capacity system, approximately 22,000 BTU/h cooling. Indoor head count and distribution are TBD.</t>
  </si>
  <si>
    <t>A-7 roof R19 radiant barrier / R15 walls conflict with T24 assembly insulation values. Insulation is outside requested quantities; resolve before buying.</t>
  </si>
  <si>
    <t>Floor covering types are unspecified. Bath tile is a 70 SF allowance; balance is unassigned floor finish. Net floor estimate deducts wall footprints, but keeps cabinet / closet footprints.</t>
  </si>
  <si>
    <t>Drywall gross ceiling scope includes house, garage and porch. Garage / porch finish is provisional. Wet-area wall backer must be separated after tile heights are chosen.</t>
  </si>
  <si>
    <t>Stucco gables use 4:12 roof geometry above eave: two 33 ft house gables and two 20 ft garage gables. Field geometry, framing at intersections, returns and vent deductions may differ.</t>
  </si>
  <si>
    <t>No framing lumber piece order, roof connector schedule, reinforcing lap / hook schedule, utility connection length or fire sprinkler design is inferred from the area takeoff.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</si>
</sst>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4">
    <font>
      <sz val="11"/>
      <name val="Carlito"/>
    </font>
    <font>
      <sz val="10"/>
      <color rgb="FF263445"/>
      <name val="Arial"/>
    </font>
    <font>
      <b/>
      <sz val="16"/>
      <color rgb="FF183A55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234B66"/>
      </patternFill>
    </fill>
    <fill>
      <patternFill patternType="solid">
        <fgColor rgb="FFFFF4D6"/>
      </patternFill>
    </fill>
    <fill>
      <patternFill patternType="solid">
        <fgColor rgb="FFE5EDF2"/>
      </patternFill>
    </fill>
    <fill>
      <patternFill patternType="solid">
        <fgColor rgb="FFE7EF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196A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4" fontId="1" fillId="0" borderId="0" xfId="0" applyNumberFormat="1" applyFont="1" applyAlignment="1">
      <alignment vertical="center"/>
    </xf>
    <xf numFmtId="4" fontId="1" fillId="3" borderId="0" xfId="0" applyNumberFormat="1" applyFont="1" applyFill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4" fontId="1" fillId="4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vertical="center" wrapText="1"/>
    </xf>
    <xf numFmtId="164" fontId="1" fillId="5" borderId="0" xfId="0" applyNumberFormat="1" applyFont="1" applyFill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4B66"/>
  </sheetPr>
  <dimension ref="A1:E35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20" customWidth="1"/>
    <col min="2" max="2" width="39" customWidth="1"/>
    <col min="3" max="3" width="17" customWidth="1"/>
    <col min="4" max="4" width="12" customWidth="1"/>
    <col min="5" max="5" width="63" customWidth="1"/>
  </cols>
  <sheetData>
    <row r="1" spans="1:5" ht="26.1" customHeight="1">
      <c r="A1" s="1"/>
      <c r="B1" s="1"/>
      <c r="C1" s="1"/>
      <c r="D1" s="1"/>
      <c r="E1" s="1"/>
    </row>
    <row r="2" spans="1:5" ht="26.1" customHeight="1">
      <c r="A2" s="2" t="s">
        <v>0</v>
      </c>
      <c r="B2" s="1"/>
      <c r="C2" s="1"/>
      <c r="D2" s="1"/>
      <c r="E2" s="1"/>
    </row>
    <row r="3" spans="1:5" ht="26.1" customHeight="1">
      <c r="A3" s="1" t="s">
        <v>1</v>
      </c>
      <c r="B3" s="1"/>
      <c r="C3" s="1"/>
      <c r="D3" s="1"/>
      <c r="E3" s="1"/>
    </row>
    <row r="4" spans="1:5" ht="26.1" customHeight="1">
      <c r="A4" s="3"/>
      <c r="B4" s="3"/>
      <c r="C4" s="3"/>
      <c r="D4" s="3"/>
      <c r="E4" s="3"/>
    </row>
    <row r="5" spans="1:5" ht="30" customHeight="1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</row>
    <row r="6" spans="1:5" ht="26.1" customHeight="1">
      <c r="A6" s="1" t="s">
        <v>7</v>
      </c>
      <c r="B6" s="1" t="s">
        <v>8</v>
      </c>
      <c r="C6" s="6">
        <f>'Building quantities'!C13</f>
        <v>231.91666666666671</v>
      </c>
      <c r="D6" s="1" t="s">
        <v>9</v>
      </c>
      <c r="E6" s="1" t="s">
        <v>10</v>
      </c>
    </row>
    <row r="7" spans="1:5" ht="26.1" customHeight="1">
      <c r="A7" s="1" t="s">
        <v>7</v>
      </c>
      <c r="B7" s="1" t="s">
        <v>11</v>
      </c>
      <c r="C7" s="6">
        <f>'Building quantities'!C17</f>
        <v>1623.75</v>
      </c>
      <c r="D7" s="1" t="s">
        <v>12</v>
      </c>
      <c r="E7" s="1" t="s">
        <v>13</v>
      </c>
    </row>
    <row r="8" spans="1:5" ht="26.1" customHeight="1">
      <c r="A8" s="1" t="s">
        <v>7</v>
      </c>
      <c r="B8" s="1" t="s">
        <v>14</v>
      </c>
      <c r="C8" s="6">
        <f>'Building quantities'!C18</f>
        <v>20.046296296296298</v>
      </c>
      <c r="D8" s="1" t="s">
        <v>15</v>
      </c>
      <c r="E8" s="1" t="s">
        <v>16</v>
      </c>
    </row>
    <row r="9" spans="1:5" ht="26.1" customHeight="1">
      <c r="A9" s="1" t="s">
        <v>7</v>
      </c>
      <c r="B9" s="1" t="s">
        <v>17</v>
      </c>
      <c r="C9" s="6">
        <f>'Building quantities'!C14</f>
        <v>17.179012345679016</v>
      </c>
      <c r="D9" s="1" t="s">
        <v>15</v>
      </c>
      <c r="E9" s="1" t="s">
        <v>18</v>
      </c>
    </row>
    <row r="10" spans="1:5" ht="26.1" customHeight="1">
      <c r="A10" s="1" t="s">
        <v>19</v>
      </c>
      <c r="B10" s="1" t="s">
        <v>20</v>
      </c>
      <c r="C10" s="6">
        <f>'Building quantities'!C23</f>
        <v>0</v>
      </c>
      <c r="D10" s="1" t="s">
        <v>12</v>
      </c>
      <c r="E10" s="1" t="s">
        <v>21</v>
      </c>
    </row>
    <row r="11" spans="1:5" ht="26.1" customHeight="1">
      <c r="A11" s="1" t="s">
        <v>19</v>
      </c>
      <c r="B11" s="1" t="s">
        <v>22</v>
      </c>
      <c r="C11" s="6">
        <f>'Building quantities'!C27</f>
        <v>1623.75</v>
      </c>
      <c r="D11" s="1" t="s">
        <v>12</v>
      </c>
      <c r="E11" s="1" t="s">
        <v>23</v>
      </c>
    </row>
    <row r="12" spans="1:5" ht="26.1" customHeight="1">
      <c r="A12" s="1" t="s">
        <v>19</v>
      </c>
      <c r="B12" s="1" t="s">
        <v>24</v>
      </c>
      <c r="C12" s="6">
        <f>'Building quantities'!C32</f>
        <v>3126.75</v>
      </c>
      <c r="D12" s="1" t="s">
        <v>12</v>
      </c>
      <c r="E12" s="1" t="s">
        <v>25</v>
      </c>
    </row>
    <row r="13" spans="1:5" ht="26.1" customHeight="1">
      <c r="A13" s="1" t="s">
        <v>26</v>
      </c>
      <c r="B13" s="1" t="s">
        <v>27</v>
      </c>
      <c r="C13" s="6">
        <f>'Building quantities'!C51</f>
        <v>5081.75</v>
      </c>
      <c r="D13" s="1" t="s">
        <v>12</v>
      </c>
      <c r="E13" s="1" t="s">
        <v>28</v>
      </c>
    </row>
    <row r="14" spans="1:5" ht="26.1" customHeight="1">
      <c r="A14" s="1" t="s">
        <v>29</v>
      </c>
      <c r="B14" s="1" t="s">
        <v>30</v>
      </c>
      <c r="C14" s="6">
        <f>'Building quantities'!C42</f>
        <v>1502.7500000000002</v>
      </c>
      <c r="D14" s="1" t="s">
        <v>12</v>
      </c>
      <c r="E14" s="1" t="s">
        <v>31</v>
      </c>
    </row>
    <row r="15" spans="1:5" ht="26.1" customHeight="1">
      <c r="A15" s="1" t="s">
        <v>32</v>
      </c>
      <c r="B15" s="1" t="s">
        <v>33</v>
      </c>
      <c r="C15" s="6">
        <f>'Building quantities'!C34</f>
        <v>2066.843596834985</v>
      </c>
      <c r="D15" s="1" t="s">
        <v>12</v>
      </c>
      <c r="E15" s="1" t="s">
        <v>34</v>
      </c>
    </row>
    <row r="16" spans="1:5" ht="26.1" customHeight="1">
      <c r="A16" s="1" t="s">
        <v>32</v>
      </c>
      <c r="B16" s="1" t="s">
        <v>35</v>
      </c>
      <c r="C16" s="6">
        <f>'Building quantities'!C35</f>
        <v>22.735279565184836</v>
      </c>
      <c r="D16" s="1" t="s">
        <v>36</v>
      </c>
      <c r="E16" s="1" t="s">
        <v>37</v>
      </c>
    </row>
    <row r="17" spans="1:5" ht="26.1" customHeight="1">
      <c r="A17" s="1" t="s">
        <v>38</v>
      </c>
      <c r="B17" s="1" t="s">
        <v>39</v>
      </c>
      <c r="C17" s="6">
        <f>'Building quantities'!C53</f>
        <v>1069.0798611111111</v>
      </c>
      <c r="D17" s="1" t="s">
        <v>12</v>
      </c>
      <c r="E17" s="1" t="s">
        <v>40</v>
      </c>
    </row>
    <row r="18" spans="1:5" ht="26.1" customHeight="1">
      <c r="A18" s="1" t="s">
        <v>38</v>
      </c>
      <c r="B18" s="1" t="s">
        <v>41</v>
      </c>
      <c r="C18" s="6">
        <f>'Building quantities'!C54</f>
        <v>70</v>
      </c>
      <c r="D18" s="1" t="s">
        <v>12</v>
      </c>
      <c r="E18" s="1" t="s">
        <v>42</v>
      </c>
    </row>
    <row r="19" spans="1:5" ht="26.1" customHeight="1">
      <c r="A19" s="1" t="s">
        <v>38</v>
      </c>
      <c r="B19" s="1" t="s">
        <v>43</v>
      </c>
      <c r="C19" s="6">
        <f>'Building quantities'!C55</f>
        <v>999.07986111111109</v>
      </c>
      <c r="D19" s="1" t="s">
        <v>12</v>
      </c>
      <c r="E19" s="1" t="s">
        <v>42</v>
      </c>
    </row>
    <row r="20" spans="1:5" ht="26.1" customHeight="1">
      <c r="A20" s="1"/>
      <c r="B20" s="1"/>
      <c r="C20" s="1"/>
      <c r="D20" s="1"/>
      <c r="E20" s="1"/>
    </row>
    <row r="21" spans="1:5" ht="26.1" customHeight="1">
      <c r="A21" s="1"/>
      <c r="B21" s="1"/>
      <c r="C21" s="1"/>
      <c r="D21" s="1"/>
      <c r="E21" s="1"/>
    </row>
    <row r="22" spans="1:5" ht="26.1" customHeight="1">
      <c r="A22" s="4" t="s">
        <v>44</v>
      </c>
      <c r="B22" s="4" t="s">
        <v>45</v>
      </c>
      <c r="C22" s="4" t="s">
        <v>4</v>
      </c>
      <c r="D22" s="4" t="s">
        <v>5</v>
      </c>
      <c r="E22" s="4" t="s">
        <v>46</v>
      </c>
    </row>
    <row r="23" spans="1:5" ht="26.1" customHeight="1">
      <c r="A23" s="1" t="s">
        <v>47</v>
      </c>
      <c r="B23" s="1" t="s">
        <v>48</v>
      </c>
      <c r="C23" s="1">
        <v>1</v>
      </c>
      <c r="D23" s="1" t="s">
        <v>49</v>
      </c>
      <c r="E23" s="1" t="s">
        <v>50</v>
      </c>
    </row>
    <row r="24" spans="1:5" ht="26.1" customHeight="1">
      <c r="A24" s="1" t="s">
        <v>47</v>
      </c>
      <c r="B24" s="1" t="s">
        <v>51</v>
      </c>
      <c r="C24" s="1" t="s">
        <v>52</v>
      </c>
      <c r="D24" s="1" t="s">
        <v>49</v>
      </c>
      <c r="E24" s="1" t="s">
        <v>53</v>
      </c>
    </row>
    <row r="25" spans="1:5" ht="26.1" customHeight="1">
      <c r="A25" s="1" t="s">
        <v>47</v>
      </c>
      <c r="B25" s="1" t="s">
        <v>54</v>
      </c>
      <c r="C25" s="1" t="s">
        <v>55</v>
      </c>
      <c r="D25" s="1" t="s">
        <v>49</v>
      </c>
      <c r="E25" s="1" t="s">
        <v>56</v>
      </c>
    </row>
    <row r="26" spans="1:5" ht="26.1" customHeight="1">
      <c r="A26" s="1" t="s">
        <v>57</v>
      </c>
      <c r="B26" s="1" t="s">
        <v>58</v>
      </c>
      <c r="C26" s="1" t="s">
        <v>59</v>
      </c>
      <c r="D26" s="1" t="s">
        <v>49</v>
      </c>
      <c r="E26" s="1" t="s">
        <v>60</v>
      </c>
    </row>
    <row r="27" spans="1:5" ht="26.1" customHeight="1">
      <c r="A27" s="1" t="s">
        <v>57</v>
      </c>
      <c r="B27" s="1" t="s">
        <v>61</v>
      </c>
      <c r="C27" s="1" t="s">
        <v>62</v>
      </c>
      <c r="D27" s="1" t="s">
        <v>49</v>
      </c>
      <c r="E27" s="1" t="s">
        <v>60</v>
      </c>
    </row>
    <row r="28" spans="1:5" ht="26.1" customHeight="1">
      <c r="A28" s="1" t="s">
        <v>57</v>
      </c>
      <c r="B28" s="1" t="s">
        <v>63</v>
      </c>
      <c r="C28" s="1">
        <v>1</v>
      </c>
      <c r="D28" s="1" t="s">
        <v>49</v>
      </c>
      <c r="E28" s="1" t="s">
        <v>64</v>
      </c>
    </row>
    <row r="29" spans="1:5" ht="26.1" customHeight="1">
      <c r="A29" s="1" t="s">
        <v>65</v>
      </c>
      <c r="B29" s="1" t="s">
        <v>66</v>
      </c>
      <c r="C29" s="1">
        <v>1</v>
      </c>
      <c r="D29" s="1" t="s">
        <v>67</v>
      </c>
      <c r="E29" s="1" t="s">
        <v>68</v>
      </c>
    </row>
    <row r="30" spans="1:5" ht="26.1" customHeight="1">
      <c r="A30" s="1" t="s">
        <v>65</v>
      </c>
      <c r="B30" s="1" t="s">
        <v>69</v>
      </c>
      <c r="C30" s="1" t="s">
        <v>70</v>
      </c>
      <c r="D30" s="1" t="s">
        <v>49</v>
      </c>
      <c r="E30" s="1" t="s">
        <v>71</v>
      </c>
    </row>
    <row r="31" spans="1:5" ht="26.1" customHeight="1">
      <c r="A31" s="1" t="s">
        <v>65</v>
      </c>
      <c r="B31" s="1" t="s">
        <v>72</v>
      </c>
      <c r="C31" s="1">
        <v>73</v>
      </c>
      <c r="D31" s="1" t="s">
        <v>73</v>
      </c>
      <c r="E31" s="1" t="s">
        <v>74</v>
      </c>
    </row>
    <row r="32" spans="1:5" ht="26.1" customHeight="1">
      <c r="A32" s="1"/>
      <c r="B32" s="1"/>
      <c r="C32" s="1"/>
      <c r="D32" s="1"/>
      <c r="E32" s="1"/>
    </row>
    <row r="33" spans="1:5" ht="26.1" customHeight="1">
      <c r="A33" s="1"/>
      <c r="B33" s="1"/>
      <c r="C33" s="1"/>
      <c r="D33" s="1"/>
      <c r="E33" s="1"/>
    </row>
    <row r="34" spans="1:5" ht="36" customHeight="1">
      <c r="A34" s="17" t="s">
        <v>75</v>
      </c>
      <c r="B34" s="17"/>
      <c r="C34" s="17"/>
      <c r="D34" s="17"/>
      <c r="E34" s="17"/>
    </row>
    <row r="35" spans="1:5" ht="36" customHeight="1">
      <c r="A35" s="17" t="s">
        <v>76</v>
      </c>
      <c r="B35" s="17"/>
      <c r="C35" s="17"/>
      <c r="D35" s="17"/>
      <c r="E35" s="17"/>
    </row>
  </sheetData>
  <mergeCells count="2">
    <mergeCell ref="A34:E34"/>
    <mergeCell ref="A35:E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FA5B4"/>
  </sheetPr>
  <dimension ref="A1:F58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9" customWidth="1"/>
    <col min="2" max="2" width="53" customWidth="1"/>
    <col min="3" max="3" width="16" customWidth="1"/>
    <col min="4" max="4" width="15" customWidth="1"/>
    <col min="5" max="5" width="28" customWidth="1"/>
    <col min="6" max="6" width="85" customWidth="1"/>
  </cols>
  <sheetData>
    <row r="1" spans="1:6" ht="26.1" customHeight="1">
      <c r="A1" s="1"/>
      <c r="B1" s="1"/>
      <c r="C1" s="1"/>
      <c r="D1" s="1"/>
      <c r="E1" s="1"/>
      <c r="F1" s="1"/>
    </row>
    <row r="2" spans="1:6" ht="26.1" customHeight="1">
      <c r="A2" s="2" t="s">
        <v>77</v>
      </c>
      <c r="B2" s="1"/>
      <c r="C2" s="1"/>
      <c r="D2" s="1"/>
      <c r="E2" s="1"/>
      <c r="F2" s="1"/>
    </row>
    <row r="3" spans="1:6" ht="26.1" customHeight="1">
      <c r="A3" s="1" t="s">
        <v>78</v>
      </c>
      <c r="B3" s="1"/>
      <c r="C3" s="1"/>
      <c r="D3" s="1"/>
      <c r="E3" s="1"/>
      <c r="F3" s="1"/>
    </row>
    <row r="4" spans="1:6" ht="26.1" customHeight="1">
      <c r="A4" s="3"/>
      <c r="B4" s="3"/>
      <c r="C4" s="3"/>
      <c r="D4" s="3"/>
      <c r="E4" s="3"/>
      <c r="F4" s="3"/>
    </row>
    <row r="5" spans="1:6" ht="30" customHeight="1">
      <c r="A5" s="5" t="s">
        <v>2</v>
      </c>
      <c r="B5" s="5" t="s">
        <v>79</v>
      </c>
      <c r="C5" s="5" t="s">
        <v>4</v>
      </c>
      <c r="D5" s="5" t="s">
        <v>5</v>
      </c>
      <c r="E5" s="5" t="s">
        <v>80</v>
      </c>
      <c r="F5" s="5" t="s">
        <v>81</v>
      </c>
    </row>
    <row r="6" spans="1:6" ht="42" customHeight="1">
      <c r="A6" s="1" t="s">
        <v>82</v>
      </c>
      <c r="B6" s="7" t="s">
        <v>83</v>
      </c>
      <c r="C6" s="6">
        <f>Measurements!B41</f>
        <v>1190.75</v>
      </c>
      <c r="D6" s="1" t="s">
        <v>12</v>
      </c>
      <c r="E6" s="7" t="s">
        <v>84</v>
      </c>
      <c r="F6" s="7" t="s">
        <v>85</v>
      </c>
    </row>
    <row r="7" spans="1:6" ht="42" customHeight="1">
      <c r="A7" s="1" t="s">
        <v>82</v>
      </c>
      <c r="B7" s="7" t="s">
        <v>86</v>
      </c>
      <c r="C7" s="6">
        <f>Measurements!B7*Measurements!B8</f>
        <v>400</v>
      </c>
      <c r="D7" s="1" t="s">
        <v>12</v>
      </c>
      <c r="E7" s="7" t="s">
        <v>84</v>
      </c>
      <c r="F7" s="7" t="s">
        <v>87</v>
      </c>
    </row>
    <row r="8" spans="1:6" ht="42" customHeight="1">
      <c r="A8" s="1" t="s">
        <v>82</v>
      </c>
      <c r="B8" s="7" t="s">
        <v>88</v>
      </c>
      <c r="C8" s="6">
        <f>Measurements!B10</f>
        <v>33</v>
      </c>
      <c r="D8" s="1" t="s">
        <v>12</v>
      </c>
      <c r="E8" s="7" t="s">
        <v>89</v>
      </c>
      <c r="F8" s="7" t="s">
        <v>90</v>
      </c>
    </row>
    <row r="9" spans="1:6" ht="42" customHeight="1">
      <c r="A9" s="1" t="s">
        <v>7</v>
      </c>
      <c r="B9" s="7" t="s">
        <v>91</v>
      </c>
      <c r="C9" s="6">
        <f>Measurements!B37</f>
        <v>138.16666666666669</v>
      </c>
      <c r="D9" s="1" t="s">
        <v>9</v>
      </c>
      <c r="E9" s="7" t="s">
        <v>92</v>
      </c>
      <c r="F9" s="7" t="s">
        <v>93</v>
      </c>
    </row>
    <row r="10" spans="1:6" ht="42" customHeight="1">
      <c r="A10" s="1" t="s">
        <v>7</v>
      </c>
      <c r="B10" s="7" t="s">
        <v>94</v>
      </c>
      <c r="C10" s="6">
        <f>Measurements!B39</f>
        <v>65.166666666666671</v>
      </c>
      <c r="D10" s="1" t="s">
        <v>9</v>
      </c>
      <c r="E10" s="7" t="s">
        <v>92</v>
      </c>
      <c r="F10" s="7" t="s">
        <v>95</v>
      </c>
    </row>
    <row r="11" spans="1:6" ht="42" customHeight="1">
      <c r="A11" s="1" t="s">
        <v>7</v>
      </c>
      <c r="B11" s="7" t="s">
        <v>96</v>
      </c>
      <c r="C11" s="6">
        <f>Measurements!B16</f>
        <v>17.333333333333332</v>
      </c>
      <c r="D11" s="1" t="s">
        <v>9</v>
      </c>
      <c r="E11" s="7" t="s">
        <v>97</v>
      </c>
      <c r="F11" s="7" t="s">
        <v>98</v>
      </c>
    </row>
    <row r="12" spans="1:6" ht="42" customHeight="1">
      <c r="A12" s="1" t="s">
        <v>7</v>
      </c>
      <c r="B12" s="7" t="s">
        <v>99</v>
      </c>
      <c r="C12" s="6">
        <f>Measurements!B11+Measurements!B12</f>
        <v>11.25</v>
      </c>
      <c r="D12" s="1" t="s">
        <v>9</v>
      </c>
      <c r="E12" s="7" t="s">
        <v>92</v>
      </c>
      <c r="F12" s="7" t="s">
        <v>100</v>
      </c>
    </row>
    <row r="13" spans="1:6" ht="42" customHeight="1">
      <c r="A13" s="14" t="s">
        <v>7</v>
      </c>
      <c r="B13" s="15" t="s">
        <v>101</v>
      </c>
      <c r="C13" s="16">
        <f>SUM(C9:C12)</f>
        <v>231.91666666666671</v>
      </c>
      <c r="D13" s="14" t="s">
        <v>9</v>
      </c>
      <c r="E13" s="15" t="s">
        <v>102</v>
      </c>
      <c r="F13" s="15" t="s">
        <v>103</v>
      </c>
    </row>
    <row r="14" spans="1:6" ht="42" customHeight="1">
      <c r="A14" s="1" t="s">
        <v>7</v>
      </c>
      <c r="B14" s="7" t="s">
        <v>104</v>
      </c>
      <c r="C14" s="6">
        <f>'Building quantities'!C13*Measurements!B17*Measurements!B18/27</f>
        <v>17.179012345679016</v>
      </c>
      <c r="D14" s="1" t="s">
        <v>15</v>
      </c>
      <c r="E14" s="7" t="s">
        <v>102</v>
      </c>
      <c r="F14" s="7" t="s">
        <v>105</v>
      </c>
    </row>
    <row r="15" spans="1:6" ht="42" customHeight="1">
      <c r="A15" s="1" t="s">
        <v>7</v>
      </c>
      <c r="B15" s="7" t="s">
        <v>106</v>
      </c>
      <c r="C15" s="6">
        <v>2</v>
      </c>
      <c r="D15" s="1" t="s">
        <v>49</v>
      </c>
      <c r="E15" s="7" t="s">
        <v>107</v>
      </c>
      <c r="F15" s="7" t="s">
        <v>108</v>
      </c>
    </row>
    <row r="16" spans="1:6" ht="42" customHeight="1">
      <c r="A16" s="1" t="s">
        <v>7</v>
      </c>
      <c r="B16" s="7" t="s">
        <v>109</v>
      </c>
      <c r="C16" s="6">
        <f>'Building quantities'!C15*2*2*2/27</f>
        <v>0.59259259259259256</v>
      </c>
      <c r="D16" s="1" t="s">
        <v>15</v>
      </c>
      <c r="E16" s="7" t="s">
        <v>102</v>
      </c>
      <c r="F16" s="7" t="s">
        <v>110</v>
      </c>
    </row>
    <row r="17" spans="1:6" ht="42" customHeight="1">
      <c r="A17" s="14" t="s">
        <v>7</v>
      </c>
      <c r="B17" s="15" t="s">
        <v>111</v>
      </c>
      <c r="C17" s="16">
        <f>SUM(C6:C8)</f>
        <v>1623.75</v>
      </c>
      <c r="D17" s="14" t="s">
        <v>12</v>
      </c>
      <c r="E17" s="15" t="s">
        <v>102</v>
      </c>
      <c r="F17" s="15" t="s">
        <v>112</v>
      </c>
    </row>
    <row r="18" spans="1:6" ht="42" customHeight="1">
      <c r="A18" s="1" t="s">
        <v>7</v>
      </c>
      <c r="B18" s="7" t="s">
        <v>113</v>
      </c>
      <c r="C18" s="6">
        <f>'Building quantities'!C17*Measurements!B19/27</f>
        <v>20.046296296296298</v>
      </c>
      <c r="D18" s="1" t="s">
        <v>15</v>
      </c>
      <c r="E18" s="7" t="s">
        <v>102</v>
      </c>
      <c r="F18" s="7" t="s">
        <v>114</v>
      </c>
    </row>
    <row r="19" spans="1:6" ht="42" customHeight="1">
      <c r="A19" s="1" t="s">
        <v>7</v>
      </c>
      <c r="B19" s="7" t="s">
        <v>115</v>
      </c>
      <c r="C19" s="6">
        <f>'Building quantities'!C17</f>
        <v>1623.75</v>
      </c>
      <c r="D19" s="1" t="s">
        <v>12</v>
      </c>
      <c r="E19" s="7" t="s">
        <v>116</v>
      </c>
      <c r="F19" s="7" t="s">
        <v>117</v>
      </c>
    </row>
    <row r="20" spans="1:6" ht="42" customHeight="1">
      <c r="A20" s="1" t="s">
        <v>7</v>
      </c>
      <c r="B20" s="7" t="s">
        <v>118</v>
      </c>
      <c r="C20" s="6">
        <f>'Building quantities'!C17*4/12/27</f>
        <v>20.046296296296298</v>
      </c>
      <c r="D20" s="1" t="s">
        <v>15</v>
      </c>
      <c r="E20" s="7" t="s">
        <v>116</v>
      </c>
      <c r="F20" s="7" t="s">
        <v>119</v>
      </c>
    </row>
    <row r="21" spans="1:6" ht="42" customHeight="1">
      <c r="A21" s="1" t="s">
        <v>7</v>
      </c>
      <c r="B21" s="7" t="s">
        <v>120</v>
      </c>
      <c r="C21" s="6">
        <f>'Building quantities'!C13*4</f>
        <v>927.66666666666686</v>
      </c>
      <c r="D21" s="1" t="s">
        <v>9</v>
      </c>
      <c r="E21" s="7" t="s">
        <v>102</v>
      </c>
      <c r="F21" s="7" t="s">
        <v>121</v>
      </c>
    </row>
    <row r="22" spans="1:6" ht="42" customHeight="1">
      <c r="A22" s="1" t="s">
        <v>7</v>
      </c>
      <c r="B22" s="7" t="s">
        <v>122</v>
      </c>
      <c r="C22" s="6">
        <f>'Building quantities'!C17*2/(16/12)</f>
        <v>2435.625</v>
      </c>
      <c r="D22" s="1" t="s">
        <v>9</v>
      </c>
      <c r="E22" s="7" t="s">
        <v>123</v>
      </c>
      <c r="F22" s="7" t="s">
        <v>124</v>
      </c>
    </row>
    <row r="23" spans="1:6" ht="42" customHeight="1">
      <c r="A23" s="1" t="s">
        <v>19</v>
      </c>
      <c r="B23" s="7" t="s">
        <v>125</v>
      </c>
      <c r="C23" s="6">
        <v>0</v>
      </c>
      <c r="D23" s="1" t="s">
        <v>12</v>
      </c>
      <c r="E23" s="7" t="s">
        <v>126</v>
      </c>
      <c r="F23" s="7" t="s">
        <v>127</v>
      </c>
    </row>
    <row r="24" spans="1:6" ht="42" customHeight="1">
      <c r="A24" s="1" t="s">
        <v>19</v>
      </c>
      <c r="B24" s="7" t="s">
        <v>128</v>
      </c>
      <c r="C24" s="6">
        <f>'Building quantities'!C6</f>
        <v>1190.75</v>
      </c>
      <c r="D24" s="1" t="s">
        <v>12</v>
      </c>
      <c r="E24" s="7" t="s">
        <v>129</v>
      </c>
      <c r="F24" s="7" t="s">
        <v>130</v>
      </c>
    </row>
    <row r="25" spans="1:6" ht="42" customHeight="1">
      <c r="A25" s="1" t="s">
        <v>19</v>
      </c>
      <c r="B25" s="7" t="s">
        <v>131</v>
      </c>
      <c r="C25" s="6">
        <f>'Building quantities'!C7</f>
        <v>400</v>
      </c>
      <c r="D25" s="1" t="s">
        <v>12</v>
      </c>
      <c r="E25" s="7" t="s">
        <v>129</v>
      </c>
      <c r="F25" s="7" t="s">
        <v>132</v>
      </c>
    </row>
    <row r="26" spans="1:6" ht="42" customHeight="1">
      <c r="A26" s="1" t="s">
        <v>19</v>
      </c>
      <c r="B26" s="7" t="s">
        <v>133</v>
      </c>
      <c r="C26" s="6">
        <f>'Building quantities'!C8</f>
        <v>33</v>
      </c>
      <c r="D26" s="1" t="s">
        <v>12</v>
      </c>
      <c r="E26" s="7" t="s">
        <v>134</v>
      </c>
      <c r="F26" s="7" t="s">
        <v>135</v>
      </c>
    </row>
    <row r="27" spans="1:6" ht="42" customHeight="1">
      <c r="A27" s="14" t="s">
        <v>19</v>
      </c>
      <c r="B27" s="15" t="s">
        <v>136</v>
      </c>
      <c r="C27" s="16">
        <f>SUM(C24:C26)</f>
        <v>1623.75</v>
      </c>
      <c r="D27" s="14" t="s">
        <v>12</v>
      </c>
      <c r="E27" s="15" t="s">
        <v>102</v>
      </c>
      <c r="F27" s="15" t="s">
        <v>137</v>
      </c>
    </row>
    <row r="28" spans="1:6" ht="42" customHeight="1">
      <c r="A28" s="1" t="s">
        <v>19</v>
      </c>
      <c r="B28" s="7" t="s">
        <v>138</v>
      </c>
      <c r="C28" s="6">
        <f>Measurements!B37*Measurements!B13</f>
        <v>1105.3333333333335</v>
      </c>
      <c r="D28" s="1" t="s">
        <v>12</v>
      </c>
      <c r="E28" s="7" t="s">
        <v>102</v>
      </c>
      <c r="F28" s="7" t="s">
        <v>139</v>
      </c>
    </row>
    <row r="29" spans="1:6" ht="42" customHeight="1">
      <c r="A29" s="1" t="s">
        <v>19</v>
      </c>
      <c r="B29" s="7" t="s">
        <v>140</v>
      </c>
      <c r="C29" s="6">
        <f>Measurements!B39*Measurements!B14</f>
        <v>553.91666666666674</v>
      </c>
      <c r="D29" s="1" t="s">
        <v>12</v>
      </c>
      <c r="E29" s="7" t="s">
        <v>102</v>
      </c>
      <c r="F29" s="7" t="s">
        <v>141</v>
      </c>
    </row>
    <row r="30" spans="1:6" ht="42" customHeight="1">
      <c r="A30" s="1" t="s">
        <v>19</v>
      </c>
      <c r="B30" s="7" t="s">
        <v>142</v>
      </c>
      <c r="C30" s="6">
        <f>Measurements!B36*Measurements!B13</f>
        <v>1219.3333333333333</v>
      </c>
      <c r="D30" s="1" t="s">
        <v>12</v>
      </c>
      <c r="E30" s="7" t="s">
        <v>143</v>
      </c>
      <c r="F30" s="7" t="s">
        <v>144</v>
      </c>
    </row>
    <row r="31" spans="1:6" ht="42" customHeight="1">
      <c r="A31" s="1" t="s">
        <v>19</v>
      </c>
      <c r="B31" s="7" t="s">
        <v>145</v>
      </c>
      <c r="C31" s="6">
        <f>2*0.5*Measurements!B5*(Measurements!B5/2*Measurements!B20/Measurements!B21)+2*0.5*Measurements!B7*(Measurements!B7/2*Measurements!B20/Measurements!B21)</f>
        <v>248.16666666666669</v>
      </c>
      <c r="D31" s="1" t="s">
        <v>12</v>
      </c>
      <c r="E31" s="7" t="s">
        <v>146</v>
      </c>
      <c r="F31" s="7" t="s">
        <v>147</v>
      </c>
    </row>
    <row r="32" spans="1:6" ht="42" customHeight="1">
      <c r="A32" s="14" t="s">
        <v>19</v>
      </c>
      <c r="B32" s="15" t="s">
        <v>148</v>
      </c>
      <c r="C32" s="16">
        <f>SUM(C28:C31)</f>
        <v>3126.75</v>
      </c>
      <c r="D32" s="14" t="s">
        <v>12</v>
      </c>
      <c r="E32" s="15" t="s">
        <v>102</v>
      </c>
      <c r="F32" s="15" t="s">
        <v>149</v>
      </c>
    </row>
    <row r="33" spans="1:6" ht="42" customHeight="1">
      <c r="A33" s="1" t="s">
        <v>32</v>
      </c>
      <c r="B33" s="7" t="s">
        <v>150</v>
      </c>
      <c r="C33" s="6">
        <f>Measurements!B22</f>
        <v>1960.78</v>
      </c>
      <c r="D33" s="1" t="s">
        <v>12</v>
      </c>
      <c r="E33" s="7" t="s">
        <v>151</v>
      </c>
      <c r="F33" s="7" t="s">
        <v>152</v>
      </c>
    </row>
    <row r="34" spans="1:6" ht="42" customHeight="1">
      <c r="A34" s="14" t="s">
        <v>32</v>
      </c>
      <c r="B34" s="15" t="s">
        <v>153</v>
      </c>
      <c r="C34" s="16">
        <f>'Building quantities'!C33*Measurements!B43</f>
        <v>2066.843596834985</v>
      </c>
      <c r="D34" s="14" t="s">
        <v>12</v>
      </c>
      <c r="E34" s="15" t="s">
        <v>143</v>
      </c>
      <c r="F34" s="15" t="s">
        <v>154</v>
      </c>
    </row>
    <row r="35" spans="1:6" ht="42" customHeight="1">
      <c r="A35" s="1" t="s">
        <v>32</v>
      </c>
      <c r="B35" s="7" t="s">
        <v>155</v>
      </c>
      <c r="C35" s="6">
        <f>'Building quantities'!C34*(1+Measurements!B23)/100</f>
        <v>22.735279565184836</v>
      </c>
      <c r="D35" s="1" t="s">
        <v>36</v>
      </c>
      <c r="E35" s="7" t="s">
        <v>156</v>
      </c>
      <c r="F35" s="7" t="s">
        <v>157</v>
      </c>
    </row>
    <row r="36" spans="1:6" ht="42" customHeight="1">
      <c r="A36" s="1" t="s">
        <v>32</v>
      </c>
      <c r="B36" s="7" t="s">
        <v>158</v>
      </c>
      <c r="C36" s="6">
        <f>'Building quantities'!C34</f>
        <v>2066.843596834985</v>
      </c>
      <c r="D36" s="1" t="s">
        <v>12</v>
      </c>
      <c r="E36" s="7" t="s">
        <v>143</v>
      </c>
      <c r="F36" s="7" t="s">
        <v>159</v>
      </c>
    </row>
    <row r="37" spans="1:6" ht="42" customHeight="1">
      <c r="A37" s="1" t="s">
        <v>32</v>
      </c>
      <c r="B37" s="7" t="s">
        <v>160</v>
      </c>
      <c r="C37" s="6">
        <f>ROUNDUP('Building quantities'!C34*(1+Measurements!B23)/32,0)</f>
        <v>72</v>
      </c>
      <c r="D37" s="1" t="s">
        <v>161</v>
      </c>
      <c r="E37" s="7" t="s">
        <v>156</v>
      </c>
      <c r="F37" s="7" t="s">
        <v>162</v>
      </c>
    </row>
    <row r="38" spans="1:6" ht="42" customHeight="1">
      <c r="A38" s="1" t="s">
        <v>32</v>
      </c>
      <c r="B38" s="7" t="s">
        <v>163</v>
      </c>
      <c r="C38" s="6">
        <v>4</v>
      </c>
      <c r="D38" s="1" t="s">
        <v>49</v>
      </c>
      <c r="E38" s="7" t="s">
        <v>164</v>
      </c>
      <c r="F38" s="7" t="s">
        <v>165</v>
      </c>
    </row>
    <row r="39" spans="1:6" ht="42" customHeight="1">
      <c r="A39" s="1" t="s">
        <v>29</v>
      </c>
      <c r="B39" s="7" t="s">
        <v>166</v>
      </c>
      <c r="C39" s="6">
        <f>(Measurements!B37-Measurements!B38)*Measurements!B13+Measurements!B39*Measurements!B14</f>
        <v>1540.5833333333335</v>
      </c>
      <c r="D39" s="1" t="s">
        <v>12</v>
      </c>
      <c r="E39" s="7" t="s">
        <v>102</v>
      </c>
      <c r="F39" s="7" t="s">
        <v>167</v>
      </c>
    </row>
    <row r="40" spans="1:6" ht="42" customHeight="1">
      <c r="A40" s="1" t="s">
        <v>29</v>
      </c>
      <c r="B40" s="7" t="s">
        <v>168</v>
      </c>
      <c r="C40" s="6">
        <f>'Building quantities'!C39+'Building quantities'!C31</f>
        <v>1788.7500000000002</v>
      </c>
      <c r="D40" s="1" t="s">
        <v>12</v>
      </c>
      <c r="E40" s="7" t="s">
        <v>102</v>
      </c>
      <c r="F40" s="7" t="s">
        <v>169</v>
      </c>
    </row>
    <row r="41" spans="1:6" ht="42" customHeight="1">
      <c r="A41" s="1" t="s">
        <v>29</v>
      </c>
      <c r="B41" s="7" t="s">
        <v>170</v>
      </c>
      <c r="C41" s="6">
        <f>Measurements!B32+Measurements!B33+Measurements!B35</f>
        <v>286</v>
      </c>
      <c r="D41" s="1" t="s">
        <v>12</v>
      </c>
      <c r="E41" s="7" t="s">
        <v>171</v>
      </c>
      <c r="F41" s="7" t="s">
        <v>172</v>
      </c>
    </row>
    <row r="42" spans="1:6" ht="42" customHeight="1">
      <c r="A42" s="14" t="s">
        <v>29</v>
      </c>
      <c r="B42" s="15" t="s">
        <v>173</v>
      </c>
      <c r="C42" s="16">
        <f>'Building quantities'!C40-'Building quantities'!C41</f>
        <v>1502.7500000000002</v>
      </c>
      <c r="D42" s="14" t="s">
        <v>12</v>
      </c>
      <c r="E42" s="15" t="s">
        <v>174</v>
      </c>
      <c r="F42" s="15" t="s">
        <v>175</v>
      </c>
    </row>
    <row r="43" spans="1:6" ht="42" customHeight="1">
      <c r="A43" s="1" t="s">
        <v>29</v>
      </c>
      <c r="B43" s="7" t="s">
        <v>176</v>
      </c>
      <c r="C43" s="6">
        <f>'Building quantities'!C42*(1+Measurements!B25)</f>
        <v>1577.8875000000003</v>
      </c>
      <c r="D43" s="1" t="s">
        <v>12</v>
      </c>
      <c r="E43" s="7" t="s">
        <v>177</v>
      </c>
      <c r="F43" s="7" t="s">
        <v>178</v>
      </c>
    </row>
    <row r="44" spans="1:6" ht="42" customHeight="1">
      <c r="A44" s="1" t="s">
        <v>29</v>
      </c>
      <c r="B44" s="7" t="s">
        <v>179</v>
      </c>
      <c r="C44" s="6">
        <f>Measurements!B40</f>
        <v>188.50000000000003</v>
      </c>
      <c r="D44" s="1" t="s">
        <v>9</v>
      </c>
      <c r="E44" s="7" t="s">
        <v>180</v>
      </c>
      <c r="F44" s="7" t="s">
        <v>181</v>
      </c>
    </row>
    <row r="45" spans="1:6" ht="42" customHeight="1">
      <c r="A45" s="1" t="s">
        <v>26</v>
      </c>
      <c r="B45" s="7" t="s">
        <v>182</v>
      </c>
      <c r="C45" s="6">
        <f>'Building quantities'!C28-Measurements!B32-Measurements!B33-Measurements!B34</f>
        <v>908.22222222222229</v>
      </c>
      <c r="D45" s="1" t="s">
        <v>12</v>
      </c>
      <c r="E45" s="7" t="s">
        <v>174</v>
      </c>
      <c r="F45" s="7" t="s">
        <v>183</v>
      </c>
    </row>
    <row r="46" spans="1:6" ht="42" customHeight="1">
      <c r="A46" s="1" t="s">
        <v>26</v>
      </c>
      <c r="B46" s="7" t="s">
        <v>184</v>
      </c>
      <c r="C46" s="6">
        <f>2*'Building quantities'!C30-2*Measurements!B30*Measurements!B31</f>
        <v>1994.2222222222222</v>
      </c>
      <c r="D46" s="1" t="s">
        <v>12</v>
      </c>
      <c r="E46" s="7" t="s">
        <v>143</v>
      </c>
      <c r="F46" s="7" t="s">
        <v>185</v>
      </c>
    </row>
    <row r="47" spans="1:6" ht="42" customHeight="1">
      <c r="A47" s="1" t="s">
        <v>26</v>
      </c>
      <c r="B47" s="7" t="s">
        <v>186</v>
      </c>
      <c r="C47" s="6">
        <f>2*(Measurements!B7+Measurements!B8)*Measurements!B14-Measurements!B35-Measurements!B34</f>
        <v>555.55555555555554</v>
      </c>
      <c r="D47" s="1" t="s">
        <v>12</v>
      </c>
      <c r="E47" s="7" t="s">
        <v>187</v>
      </c>
      <c r="F47" s="7" t="s">
        <v>188</v>
      </c>
    </row>
    <row r="48" spans="1:6" ht="42" customHeight="1">
      <c r="A48" s="1" t="s">
        <v>26</v>
      </c>
      <c r="B48" s="7" t="s">
        <v>189</v>
      </c>
      <c r="C48" s="6">
        <f>'Building quantities'!C6</f>
        <v>1190.75</v>
      </c>
      <c r="D48" s="1" t="s">
        <v>12</v>
      </c>
      <c r="E48" s="7" t="s">
        <v>190</v>
      </c>
      <c r="F48" s="7" t="s">
        <v>191</v>
      </c>
    </row>
    <row r="49" spans="1:6" ht="42" customHeight="1">
      <c r="A49" s="1" t="s">
        <v>26</v>
      </c>
      <c r="B49" s="7" t="s">
        <v>192</v>
      </c>
      <c r="C49" s="6">
        <f>'Building quantities'!C7</f>
        <v>400</v>
      </c>
      <c r="D49" s="1" t="s">
        <v>12</v>
      </c>
      <c r="E49" s="7" t="s">
        <v>187</v>
      </c>
      <c r="F49" s="7" t="s">
        <v>193</v>
      </c>
    </row>
    <row r="50" spans="1:6" ht="42" customHeight="1">
      <c r="A50" s="1" t="s">
        <v>26</v>
      </c>
      <c r="B50" s="7" t="s">
        <v>194</v>
      </c>
      <c r="C50" s="6">
        <f>'Building quantities'!C8</f>
        <v>33</v>
      </c>
      <c r="D50" s="1" t="s">
        <v>12</v>
      </c>
      <c r="E50" s="7" t="s">
        <v>187</v>
      </c>
      <c r="F50" s="7" t="s">
        <v>195</v>
      </c>
    </row>
    <row r="51" spans="1:6" ht="42" customHeight="1">
      <c r="A51" s="14" t="s">
        <v>26</v>
      </c>
      <c r="B51" s="15" t="s">
        <v>196</v>
      </c>
      <c r="C51" s="16">
        <f>SUM(C45:C50)</f>
        <v>5081.75</v>
      </c>
      <c r="D51" s="14" t="s">
        <v>12</v>
      </c>
      <c r="E51" s="15" t="s">
        <v>174</v>
      </c>
      <c r="F51" s="15" t="s">
        <v>197</v>
      </c>
    </row>
    <row r="52" spans="1:6" ht="42" customHeight="1">
      <c r="A52" s="1" t="s">
        <v>26</v>
      </c>
      <c r="B52" s="7" t="s">
        <v>198</v>
      </c>
      <c r="C52" s="6">
        <f>'Building quantities'!C51*(1+Measurements!B24)</f>
        <v>5589.9250000000002</v>
      </c>
      <c r="D52" s="1" t="s">
        <v>12</v>
      </c>
      <c r="E52" s="7" t="s">
        <v>156</v>
      </c>
      <c r="F52" s="7" t="s">
        <v>199</v>
      </c>
    </row>
    <row r="53" spans="1:6" ht="42" customHeight="1">
      <c r="A53" s="14" t="s">
        <v>38</v>
      </c>
      <c r="B53" s="15" t="s">
        <v>200</v>
      </c>
      <c r="C53" s="16">
        <f>'Building quantities'!C6-Measurements!B37*Measurements!B27-Measurements!B36*Measurements!B28</f>
        <v>1069.0798611111111</v>
      </c>
      <c r="D53" s="14" t="s">
        <v>12</v>
      </c>
      <c r="E53" s="15" t="s">
        <v>201</v>
      </c>
      <c r="F53" s="15" t="s">
        <v>202</v>
      </c>
    </row>
    <row r="54" spans="1:6" ht="42" customHeight="1">
      <c r="A54" s="1" t="s">
        <v>38</v>
      </c>
      <c r="B54" s="7" t="s">
        <v>203</v>
      </c>
      <c r="C54" s="6">
        <f>Measurements!B29</f>
        <v>70</v>
      </c>
      <c r="D54" s="1" t="s">
        <v>12</v>
      </c>
      <c r="E54" s="7" t="s">
        <v>204</v>
      </c>
      <c r="F54" s="7" t="s">
        <v>205</v>
      </c>
    </row>
    <row r="55" spans="1:6" ht="42" customHeight="1">
      <c r="A55" s="1" t="s">
        <v>38</v>
      </c>
      <c r="B55" s="7" t="s">
        <v>206</v>
      </c>
      <c r="C55" s="6">
        <f>'Building quantities'!C53-'Building quantities'!C54</f>
        <v>999.07986111111109</v>
      </c>
      <c r="D55" s="1" t="s">
        <v>12</v>
      </c>
      <c r="E55" s="7" t="s">
        <v>204</v>
      </c>
      <c r="F55" s="7" t="s">
        <v>207</v>
      </c>
    </row>
    <row r="56" spans="1:6" ht="42" customHeight="1">
      <c r="A56" s="1" t="s">
        <v>38</v>
      </c>
      <c r="B56" s="7" t="s">
        <v>208</v>
      </c>
      <c r="C56" s="6">
        <f>'Building quantities'!C54*(1+Measurements!B26)</f>
        <v>77</v>
      </c>
      <c r="D56" s="1" t="s">
        <v>12</v>
      </c>
      <c r="E56" s="7" t="s">
        <v>156</v>
      </c>
      <c r="F56" s="7" t="s">
        <v>209</v>
      </c>
    </row>
    <row r="57" spans="1:6" ht="42" customHeight="1">
      <c r="A57" s="1" t="s">
        <v>38</v>
      </c>
      <c r="B57" s="7" t="s">
        <v>210</v>
      </c>
      <c r="C57" s="6">
        <f>'Building quantities'!C55*(1+Measurements!B26)</f>
        <v>1098.9878472222222</v>
      </c>
      <c r="D57" s="1" t="s">
        <v>12</v>
      </c>
      <c r="E57" s="7" t="s">
        <v>156</v>
      </c>
      <c r="F57" s="7" t="s">
        <v>211</v>
      </c>
    </row>
    <row r="58" spans="1:6" ht="42" customHeight="1">
      <c r="A58" s="1" t="s">
        <v>38</v>
      </c>
      <c r="B58" s="7" t="s">
        <v>212</v>
      </c>
      <c r="C58" s="6">
        <f>(Measurements!B7-2*Measurements!B27)*(Measurements!B8-2*Measurements!B27)</f>
        <v>370.5625</v>
      </c>
      <c r="D58" s="1" t="s">
        <v>12</v>
      </c>
      <c r="E58" s="7" t="s">
        <v>201</v>
      </c>
      <c r="F58" s="7" t="s"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FA5B4"/>
  </sheetPr>
  <dimension ref="A1:F6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9" customWidth="1"/>
    <col min="2" max="2" width="53" customWidth="1"/>
    <col min="3" max="3" width="16" customWidth="1"/>
    <col min="4" max="4" width="15" customWidth="1"/>
    <col min="5" max="5" width="28" customWidth="1"/>
    <col min="6" max="6" width="85" customWidth="1"/>
  </cols>
  <sheetData>
    <row r="1" spans="1:6" ht="26.1" customHeight="1">
      <c r="A1" s="1"/>
      <c r="B1" s="1"/>
      <c r="C1" s="1"/>
      <c r="D1" s="1"/>
      <c r="E1" s="1"/>
      <c r="F1" s="1"/>
    </row>
    <row r="2" spans="1:6" ht="26.1" customHeight="1">
      <c r="A2" s="2" t="s">
        <v>214</v>
      </c>
      <c r="B2" s="1"/>
      <c r="C2" s="1"/>
      <c r="D2" s="1"/>
      <c r="E2" s="1"/>
      <c r="F2" s="1"/>
    </row>
    <row r="3" spans="1:6" ht="26.1" customHeight="1">
      <c r="A3" s="1" t="s">
        <v>215</v>
      </c>
      <c r="B3" s="1"/>
      <c r="C3" s="1"/>
      <c r="D3" s="1"/>
      <c r="E3" s="1"/>
      <c r="F3" s="1"/>
    </row>
    <row r="4" spans="1:6" ht="26.1" customHeight="1">
      <c r="A4" s="3"/>
      <c r="B4" s="3"/>
      <c r="C4" s="3"/>
      <c r="D4" s="3"/>
      <c r="E4" s="3"/>
      <c r="F4" s="3"/>
    </row>
    <row r="5" spans="1:6" ht="30" customHeight="1">
      <c r="A5" s="5" t="s">
        <v>2</v>
      </c>
      <c r="B5" s="5" t="s">
        <v>79</v>
      </c>
      <c r="C5" s="5" t="s">
        <v>4</v>
      </c>
      <c r="D5" s="5" t="s">
        <v>5</v>
      </c>
      <c r="E5" s="5" t="s">
        <v>80</v>
      </c>
      <c r="F5" s="5" t="s">
        <v>216</v>
      </c>
    </row>
    <row r="6" spans="1:6" ht="42" customHeight="1">
      <c r="A6" s="1" t="s">
        <v>47</v>
      </c>
      <c r="B6" s="7" t="s">
        <v>217</v>
      </c>
      <c r="C6" s="6">
        <v>1</v>
      </c>
      <c r="D6" s="1" t="s">
        <v>49</v>
      </c>
      <c r="E6" s="7" t="s">
        <v>89</v>
      </c>
      <c r="F6" s="7" t="s">
        <v>218</v>
      </c>
    </row>
    <row r="7" spans="1:6" ht="42" customHeight="1">
      <c r="A7" s="1" t="s">
        <v>47</v>
      </c>
      <c r="B7" s="7" t="s">
        <v>219</v>
      </c>
      <c r="C7" s="6">
        <v>4</v>
      </c>
      <c r="D7" s="1" t="s">
        <v>49</v>
      </c>
      <c r="E7" s="7" t="s">
        <v>220</v>
      </c>
      <c r="F7" s="7" t="s">
        <v>221</v>
      </c>
    </row>
    <row r="8" spans="1:6" ht="42" customHeight="1">
      <c r="A8" s="1" t="s">
        <v>47</v>
      </c>
      <c r="B8" s="7" t="s">
        <v>222</v>
      </c>
      <c r="C8" s="6">
        <v>1</v>
      </c>
      <c r="D8" s="1" t="s">
        <v>49</v>
      </c>
      <c r="E8" s="7" t="s">
        <v>177</v>
      </c>
      <c r="F8" s="7" t="s">
        <v>223</v>
      </c>
    </row>
    <row r="9" spans="1:6" ht="42" customHeight="1">
      <c r="A9" s="1" t="s">
        <v>47</v>
      </c>
      <c r="B9" s="7" t="s">
        <v>224</v>
      </c>
      <c r="C9" s="6">
        <v>4</v>
      </c>
      <c r="D9" s="1" t="s">
        <v>49</v>
      </c>
      <c r="E9" s="7" t="s">
        <v>220</v>
      </c>
      <c r="F9" s="7" t="s">
        <v>225</v>
      </c>
    </row>
    <row r="10" spans="1:6" ht="42" customHeight="1">
      <c r="A10" s="1" t="s">
        <v>47</v>
      </c>
      <c r="B10" s="7" t="s">
        <v>226</v>
      </c>
      <c r="C10" s="6">
        <v>16</v>
      </c>
      <c r="D10" s="1" t="s">
        <v>49</v>
      </c>
      <c r="E10" s="7" t="s">
        <v>227</v>
      </c>
      <c r="F10" s="7" t="s">
        <v>228</v>
      </c>
    </row>
    <row r="11" spans="1:6" ht="42" customHeight="1">
      <c r="A11" s="1" t="s">
        <v>47</v>
      </c>
      <c r="B11" s="7" t="s">
        <v>229</v>
      </c>
      <c r="C11" s="6">
        <v>6</v>
      </c>
      <c r="D11" s="1" t="s">
        <v>49</v>
      </c>
      <c r="E11" s="7" t="s">
        <v>227</v>
      </c>
      <c r="F11" s="7" t="s">
        <v>230</v>
      </c>
    </row>
    <row r="12" spans="1:6" ht="42" customHeight="1">
      <c r="A12" s="1" t="s">
        <v>47</v>
      </c>
      <c r="B12" s="7" t="s">
        <v>231</v>
      </c>
      <c r="C12" s="6">
        <v>2</v>
      </c>
      <c r="D12" s="1" t="s">
        <v>49</v>
      </c>
      <c r="E12" s="7" t="s">
        <v>227</v>
      </c>
      <c r="F12" s="7" t="s">
        <v>230</v>
      </c>
    </row>
    <row r="13" spans="1:6" ht="42" customHeight="1">
      <c r="A13" s="1" t="s">
        <v>47</v>
      </c>
      <c r="B13" s="7" t="s">
        <v>232</v>
      </c>
      <c r="C13" s="6">
        <v>6</v>
      </c>
      <c r="D13" s="1" t="s">
        <v>49</v>
      </c>
      <c r="E13" s="7" t="s">
        <v>227</v>
      </c>
      <c r="F13" s="7" t="s">
        <v>233</v>
      </c>
    </row>
    <row r="14" spans="1:6" ht="42" customHeight="1">
      <c r="A14" s="1" t="s">
        <v>47</v>
      </c>
      <c r="B14" s="7" t="s">
        <v>234</v>
      </c>
      <c r="C14" s="6">
        <v>2</v>
      </c>
      <c r="D14" s="1" t="s">
        <v>49</v>
      </c>
      <c r="E14" s="7" t="s">
        <v>227</v>
      </c>
      <c r="F14" s="7" t="s">
        <v>235</v>
      </c>
    </row>
    <row r="15" spans="1:6" ht="42" customHeight="1">
      <c r="A15" s="1" t="s">
        <v>47</v>
      </c>
      <c r="B15" s="7" t="s">
        <v>236</v>
      </c>
      <c r="C15" s="6">
        <v>4</v>
      </c>
      <c r="D15" s="1" t="s">
        <v>49</v>
      </c>
      <c r="E15" s="7" t="s">
        <v>227</v>
      </c>
      <c r="F15" s="7" t="s">
        <v>237</v>
      </c>
    </row>
    <row r="16" spans="1:6" ht="42" customHeight="1">
      <c r="A16" s="1" t="s">
        <v>47</v>
      </c>
      <c r="B16" s="7" t="s">
        <v>238</v>
      </c>
      <c r="C16" s="6">
        <v>2</v>
      </c>
      <c r="D16" s="1" t="s">
        <v>49</v>
      </c>
      <c r="E16" s="7" t="s">
        <v>227</v>
      </c>
      <c r="F16" s="7" t="s">
        <v>239</v>
      </c>
    </row>
    <row r="17" spans="1:6" ht="42" customHeight="1">
      <c r="A17" s="1" t="s">
        <v>47</v>
      </c>
      <c r="B17" s="7" t="s">
        <v>240</v>
      </c>
      <c r="C17" s="6">
        <v>1</v>
      </c>
      <c r="D17" s="1" t="s">
        <v>49</v>
      </c>
      <c r="E17" s="7" t="s">
        <v>227</v>
      </c>
      <c r="F17" s="7" t="s">
        <v>241</v>
      </c>
    </row>
    <row r="18" spans="1:6" ht="42" customHeight="1">
      <c r="A18" s="1" t="s">
        <v>47</v>
      </c>
      <c r="B18" s="7" t="s">
        <v>242</v>
      </c>
      <c r="C18" s="6">
        <v>1</v>
      </c>
      <c r="D18" s="1" t="s">
        <v>49</v>
      </c>
      <c r="E18" s="7" t="s">
        <v>227</v>
      </c>
      <c r="F18" s="7" t="s">
        <v>243</v>
      </c>
    </row>
    <row r="19" spans="1:6" ht="42" customHeight="1">
      <c r="A19" s="1" t="s">
        <v>47</v>
      </c>
      <c r="B19" s="7" t="s">
        <v>244</v>
      </c>
      <c r="C19" s="6">
        <v>1</v>
      </c>
      <c r="D19" s="1" t="s">
        <v>49</v>
      </c>
      <c r="E19" s="7" t="s">
        <v>227</v>
      </c>
      <c r="F19" s="7" t="s">
        <v>245</v>
      </c>
    </row>
    <row r="20" spans="1:6" ht="42" customHeight="1">
      <c r="A20" s="1" t="s">
        <v>47</v>
      </c>
      <c r="B20" s="7" t="s">
        <v>246</v>
      </c>
      <c r="C20" s="6">
        <v>1</v>
      </c>
      <c r="D20" s="1" t="s">
        <v>49</v>
      </c>
      <c r="E20" s="7" t="s">
        <v>227</v>
      </c>
      <c r="F20" s="7" t="s">
        <v>247</v>
      </c>
    </row>
    <row r="21" spans="1:6" ht="42" customHeight="1">
      <c r="A21" s="1" t="s">
        <v>47</v>
      </c>
      <c r="B21" s="7" t="s">
        <v>248</v>
      </c>
      <c r="C21" s="6">
        <v>1</v>
      </c>
      <c r="D21" s="1" t="s">
        <v>49</v>
      </c>
      <c r="E21" s="7" t="s">
        <v>249</v>
      </c>
      <c r="F21" s="7" t="s">
        <v>250</v>
      </c>
    </row>
    <row r="22" spans="1:6" ht="42" customHeight="1">
      <c r="A22" s="1" t="s">
        <v>47</v>
      </c>
      <c r="B22" s="7" t="s">
        <v>251</v>
      </c>
      <c r="C22" s="6">
        <v>1</v>
      </c>
      <c r="D22" s="1" t="s">
        <v>49</v>
      </c>
      <c r="E22" s="7" t="s">
        <v>249</v>
      </c>
      <c r="F22" s="7" t="s">
        <v>252</v>
      </c>
    </row>
    <row r="23" spans="1:6" ht="42" customHeight="1">
      <c r="A23" s="1" t="s">
        <v>47</v>
      </c>
      <c r="B23" s="7" t="s">
        <v>253</v>
      </c>
      <c r="C23" s="6">
        <v>1</v>
      </c>
      <c r="D23" s="1" t="s">
        <v>49</v>
      </c>
      <c r="E23" s="7" t="s">
        <v>249</v>
      </c>
      <c r="F23" s="7" t="s">
        <v>254</v>
      </c>
    </row>
    <row r="24" spans="1:6" ht="42" customHeight="1">
      <c r="A24" s="1" t="s">
        <v>47</v>
      </c>
      <c r="B24" s="7" t="s">
        <v>255</v>
      </c>
      <c r="C24" s="6">
        <v>1</v>
      </c>
      <c r="D24" s="1" t="s">
        <v>49</v>
      </c>
      <c r="E24" s="7" t="s">
        <v>227</v>
      </c>
      <c r="F24" s="7" t="s">
        <v>256</v>
      </c>
    </row>
    <row r="25" spans="1:6" ht="42" customHeight="1">
      <c r="A25" s="1" t="s">
        <v>47</v>
      </c>
      <c r="B25" s="7" t="s">
        <v>257</v>
      </c>
      <c r="C25" s="6">
        <v>1</v>
      </c>
      <c r="D25" s="1" t="s">
        <v>49</v>
      </c>
      <c r="E25" s="7" t="s">
        <v>249</v>
      </c>
      <c r="F25" s="7" t="s">
        <v>258</v>
      </c>
    </row>
    <row r="26" spans="1:6" ht="42" customHeight="1">
      <c r="A26" s="1" t="s">
        <v>47</v>
      </c>
      <c r="B26" s="7" t="s">
        <v>259</v>
      </c>
      <c r="C26" s="6">
        <v>1</v>
      </c>
      <c r="D26" s="1" t="s">
        <v>49</v>
      </c>
      <c r="E26" s="7" t="s">
        <v>260</v>
      </c>
      <c r="F26" s="7" t="s">
        <v>261</v>
      </c>
    </row>
    <row r="27" spans="1:6" ht="42" customHeight="1">
      <c r="A27" s="1" t="s">
        <v>47</v>
      </c>
      <c r="B27" s="7" t="s">
        <v>262</v>
      </c>
      <c r="C27" s="6">
        <v>2</v>
      </c>
      <c r="D27" s="1" t="s">
        <v>49</v>
      </c>
      <c r="E27" s="7" t="s">
        <v>249</v>
      </c>
      <c r="F27" s="7" t="s">
        <v>263</v>
      </c>
    </row>
    <row r="28" spans="1:6" ht="42" customHeight="1">
      <c r="A28" s="1" t="s">
        <v>47</v>
      </c>
      <c r="B28" s="7" t="s">
        <v>264</v>
      </c>
      <c r="C28" s="6">
        <v>4</v>
      </c>
      <c r="D28" s="1" t="s">
        <v>49</v>
      </c>
      <c r="E28" s="7" t="s">
        <v>227</v>
      </c>
      <c r="F28" s="7" t="s">
        <v>265</v>
      </c>
    </row>
    <row r="29" spans="1:6" ht="42" customHeight="1">
      <c r="A29" s="1" t="s">
        <v>47</v>
      </c>
      <c r="B29" s="7" t="s">
        <v>266</v>
      </c>
      <c r="C29" s="6">
        <v>5</v>
      </c>
      <c r="D29" s="1" t="s">
        <v>49</v>
      </c>
      <c r="E29" s="7" t="s">
        <v>227</v>
      </c>
      <c r="F29" s="7" t="s">
        <v>267</v>
      </c>
    </row>
    <row r="30" spans="1:6" ht="42" customHeight="1">
      <c r="A30" s="1" t="s">
        <v>47</v>
      </c>
      <c r="B30" s="7" t="s">
        <v>268</v>
      </c>
      <c r="C30" s="6">
        <v>2</v>
      </c>
      <c r="D30" s="1" t="s">
        <v>49</v>
      </c>
      <c r="E30" s="7" t="s">
        <v>227</v>
      </c>
      <c r="F30" s="7" t="s">
        <v>269</v>
      </c>
    </row>
    <row r="31" spans="1:6" ht="42" customHeight="1">
      <c r="A31" s="1" t="s">
        <v>47</v>
      </c>
      <c r="B31" s="7" t="s">
        <v>270</v>
      </c>
      <c r="C31" s="6">
        <v>4</v>
      </c>
      <c r="D31" s="1" t="s">
        <v>49</v>
      </c>
      <c r="E31" s="7" t="s">
        <v>227</v>
      </c>
      <c r="F31" s="7" t="s">
        <v>271</v>
      </c>
    </row>
    <row r="32" spans="1:6" ht="42" customHeight="1">
      <c r="A32" s="1" t="s">
        <v>47</v>
      </c>
      <c r="B32" s="7" t="s">
        <v>272</v>
      </c>
      <c r="C32" s="6">
        <v>8</v>
      </c>
      <c r="D32" s="1" t="s">
        <v>49</v>
      </c>
      <c r="E32" s="7" t="s">
        <v>227</v>
      </c>
      <c r="F32" s="7" t="s">
        <v>269</v>
      </c>
    </row>
    <row r="33" spans="1:6" ht="42" customHeight="1">
      <c r="A33" s="1" t="s">
        <v>47</v>
      </c>
      <c r="B33" s="7" t="s">
        <v>273</v>
      </c>
      <c r="C33" s="6">
        <v>6</v>
      </c>
      <c r="D33" s="1" t="s">
        <v>49</v>
      </c>
      <c r="E33" s="7" t="s">
        <v>227</v>
      </c>
      <c r="F33" s="7" t="s">
        <v>269</v>
      </c>
    </row>
    <row r="34" spans="1:6" ht="42" customHeight="1">
      <c r="A34" s="1" t="s">
        <v>47</v>
      </c>
      <c r="B34" s="7" t="s">
        <v>274</v>
      </c>
      <c r="C34" s="6">
        <v>4</v>
      </c>
      <c r="D34" s="1" t="s">
        <v>49</v>
      </c>
      <c r="E34" s="7" t="s">
        <v>227</v>
      </c>
      <c r="F34" s="7" t="s">
        <v>269</v>
      </c>
    </row>
    <row r="35" spans="1:6" ht="42" customHeight="1">
      <c r="A35" s="1" t="s">
        <v>47</v>
      </c>
      <c r="B35" s="7" t="s">
        <v>275</v>
      </c>
      <c r="C35" s="6">
        <v>1</v>
      </c>
      <c r="D35" s="1" t="s">
        <v>49</v>
      </c>
      <c r="E35" s="7" t="s">
        <v>227</v>
      </c>
      <c r="F35" s="7" t="s">
        <v>269</v>
      </c>
    </row>
    <row r="36" spans="1:6" ht="42" customHeight="1">
      <c r="A36" s="1" t="s">
        <v>47</v>
      </c>
      <c r="B36" s="7" t="s">
        <v>276</v>
      </c>
      <c r="C36" s="6">
        <v>3</v>
      </c>
      <c r="D36" s="1" t="s">
        <v>49</v>
      </c>
      <c r="E36" s="7" t="s">
        <v>227</v>
      </c>
      <c r="F36" s="7" t="s">
        <v>269</v>
      </c>
    </row>
    <row r="37" spans="1:6" ht="42" customHeight="1">
      <c r="A37" s="1" t="s">
        <v>47</v>
      </c>
      <c r="B37" s="7" t="s">
        <v>277</v>
      </c>
      <c r="C37" s="6">
        <v>18</v>
      </c>
      <c r="D37" s="1" t="s">
        <v>49</v>
      </c>
      <c r="E37" s="7" t="s">
        <v>227</v>
      </c>
      <c r="F37" s="7" t="s">
        <v>278</v>
      </c>
    </row>
    <row r="38" spans="1:6" ht="42" customHeight="1">
      <c r="A38" s="1" t="s">
        <v>47</v>
      </c>
      <c r="B38" s="7" t="s">
        <v>279</v>
      </c>
      <c r="C38" s="6" t="s">
        <v>280</v>
      </c>
      <c r="D38" s="1" t="s">
        <v>49</v>
      </c>
      <c r="E38" s="7" t="s">
        <v>281</v>
      </c>
      <c r="F38" s="7" t="s">
        <v>282</v>
      </c>
    </row>
    <row r="39" spans="1:6" ht="42" customHeight="1">
      <c r="A39" s="1" t="s">
        <v>47</v>
      </c>
      <c r="B39" s="7" t="s">
        <v>283</v>
      </c>
      <c r="C39" s="6" t="s">
        <v>280</v>
      </c>
      <c r="D39" s="1" t="s">
        <v>284</v>
      </c>
      <c r="E39" s="7" t="s">
        <v>281</v>
      </c>
      <c r="F39" s="7" t="s">
        <v>285</v>
      </c>
    </row>
    <row r="40" spans="1:6" ht="42" customHeight="1">
      <c r="A40" s="1" t="s">
        <v>47</v>
      </c>
      <c r="B40" s="7" t="s">
        <v>286</v>
      </c>
      <c r="C40" s="6" t="s">
        <v>280</v>
      </c>
      <c r="D40" s="1" t="s">
        <v>284</v>
      </c>
      <c r="E40" s="7" t="s">
        <v>281</v>
      </c>
      <c r="F40" s="7" t="s">
        <v>287</v>
      </c>
    </row>
    <row r="41" spans="1:6" ht="42" customHeight="1">
      <c r="A41" s="1" t="s">
        <v>47</v>
      </c>
      <c r="B41" s="7" t="s">
        <v>288</v>
      </c>
      <c r="C41" s="6" t="s">
        <v>280</v>
      </c>
      <c r="D41" s="1" t="s">
        <v>9</v>
      </c>
      <c r="E41" s="7" t="s">
        <v>289</v>
      </c>
      <c r="F41" s="7" t="s">
        <v>290</v>
      </c>
    </row>
    <row r="42" spans="1:6" ht="42" customHeight="1">
      <c r="A42" s="1" t="s">
        <v>57</v>
      </c>
      <c r="B42" s="7" t="s">
        <v>291</v>
      </c>
      <c r="C42" s="6">
        <v>2</v>
      </c>
      <c r="D42" s="1" t="s">
        <v>49</v>
      </c>
      <c r="E42" s="7" t="s">
        <v>292</v>
      </c>
      <c r="F42" s="7" t="s">
        <v>293</v>
      </c>
    </row>
    <row r="43" spans="1:6" ht="42" customHeight="1">
      <c r="A43" s="1" t="s">
        <v>57</v>
      </c>
      <c r="B43" s="7" t="s">
        <v>294</v>
      </c>
      <c r="C43" s="6">
        <v>2</v>
      </c>
      <c r="D43" s="1" t="s">
        <v>49</v>
      </c>
      <c r="E43" s="7" t="s">
        <v>292</v>
      </c>
      <c r="F43" s="7" t="s">
        <v>295</v>
      </c>
    </row>
    <row r="44" spans="1:6" ht="42" customHeight="1">
      <c r="A44" s="1" t="s">
        <v>57</v>
      </c>
      <c r="B44" s="7" t="s">
        <v>296</v>
      </c>
      <c r="C44" s="6">
        <v>2</v>
      </c>
      <c r="D44" s="1" t="s">
        <v>49</v>
      </c>
      <c r="E44" s="7" t="s">
        <v>292</v>
      </c>
      <c r="F44" s="7" t="s">
        <v>297</v>
      </c>
    </row>
    <row r="45" spans="1:6" ht="42" customHeight="1">
      <c r="A45" s="1" t="s">
        <v>57</v>
      </c>
      <c r="B45" s="7" t="s">
        <v>298</v>
      </c>
      <c r="C45" s="6">
        <v>1</v>
      </c>
      <c r="D45" s="1" t="s">
        <v>49</v>
      </c>
      <c r="E45" s="7" t="s">
        <v>292</v>
      </c>
      <c r="F45" s="7" t="s">
        <v>299</v>
      </c>
    </row>
    <row r="46" spans="1:6" ht="42" customHeight="1">
      <c r="A46" s="1" t="s">
        <v>57</v>
      </c>
      <c r="B46" s="7" t="s">
        <v>300</v>
      </c>
      <c r="C46" s="6">
        <v>1</v>
      </c>
      <c r="D46" s="1" t="s">
        <v>49</v>
      </c>
      <c r="E46" s="7" t="s">
        <v>292</v>
      </c>
      <c r="F46" s="7" t="s">
        <v>301</v>
      </c>
    </row>
    <row r="47" spans="1:6" ht="42" customHeight="1">
      <c r="A47" s="1" t="s">
        <v>57</v>
      </c>
      <c r="B47" s="7" t="s">
        <v>302</v>
      </c>
      <c r="C47" s="6">
        <v>1</v>
      </c>
      <c r="D47" s="1" t="s">
        <v>303</v>
      </c>
      <c r="E47" s="7" t="s">
        <v>249</v>
      </c>
      <c r="F47" s="7" t="s">
        <v>304</v>
      </c>
    </row>
    <row r="48" spans="1:6" ht="42" customHeight="1">
      <c r="A48" s="1" t="s">
        <v>57</v>
      </c>
      <c r="B48" s="7" t="s">
        <v>305</v>
      </c>
      <c r="C48" s="6">
        <v>1</v>
      </c>
      <c r="D48" s="1" t="s">
        <v>303</v>
      </c>
      <c r="E48" s="7" t="s">
        <v>227</v>
      </c>
      <c r="F48" s="7" t="s">
        <v>306</v>
      </c>
    </row>
    <row r="49" spans="1:6" ht="42" customHeight="1">
      <c r="A49" s="1" t="s">
        <v>57</v>
      </c>
      <c r="B49" s="7" t="s">
        <v>307</v>
      </c>
      <c r="C49" s="6">
        <v>2</v>
      </c>
      <c r="D49" s="1" t="s">
        <v>49</v>
      </c>
      <c r="E49" s="7" t="s">
        <v>227</v>
      </c>
      <c r="F49" s="7" t="s">
        <v>308</v>
      </c>
    </row>
    <row r="50" spans="1:6" ht="42" customHeight="1">
      <c r="A50" s="1" t="s">
        <v>57</v>
      </c>
      <c r="B50" s="7" t="s">
        <v>309</v>
      </c>
      <c r="C50" s="6">
        <v>1</v>
      </c>
      <c r="D50" s="1" t="s">
        <v>49</v>
      </c>
      <c r="E50" s="7" t="s">
        <v>310</v>
      </c>
      <c r="F50" s="7" t="s">
        <v>311</v>
      </c>
    </row>
    <row r="51" spans="1:6" ht="42" customHeight="1">
      <c r="A51" s="1" t="s">
        <v>57</v>
      </c>
      <c r="B51" s="7" t="s">
        <v>312</v>
      </c>
      <c r="C51" s="6">
        <v>1</v>
      </c>
      <c r="D51" s="1" t="s">
        <v>49</v>
      </c>
      <c r="E51" s="7" t="s">
        <v>313</v>
      </c>
      <c r="F51" s="7" t="s">
        <v>314</v>
      </c>
    </row>
    <row r="52" spans="1:6" ht="42" customHeight="1">
      <c r="A52" s="1" t="s">
        <v>57</v>
      </c>
      <c r="B52" s="7" t="s">
        <v>315</v>
      </c>
      <c r="C52" s="6">
        <v>1</v>
      </c>
      <c r="D52" s="1" t="s">
        <v>303</v>
      </c>
      <c r="E52" s="7" t="s">
        <v>249</v>
      </c>
      <c r="F52" s="7" t="s">
        <v>316</v>
      </c>
    </row>
    <row r="53" spans="1:6" ht="42" customHeight="1">
      <c r="A53" s="1" t="s">
        <v>57</v>
      </c>
      <c r="B53" s="7" t="s">
        <v>317</v>
      </c>
      <c r="C53" s="6">
        <v>1</v>
      </c>
      <c r="D53" s="1" t="s">
        <v>318</v>
      </c>
      <c r="E53" s="7" t="s">
        <v>319</v>
      </c>
      <c r="F53" s="7" t="s">
        <v>320</v>
      </c>
    </row>
    <row r="54" spans="1:6" ht="42" customHeight="1">
      <c r="A54" s="1" t="s">
        <v>57</v>
      </c>
      <c r="B54" s="7" t="s">
        <v>321</v>
      </c>
      <c r="C54" s="6">
        <v>1</v>
      </c>
      <c r="D54" s="1" t="s">
        <v>318</v>
      </c>
      <c r="E54" s="7" t="s">
        <v>319</v>
      </c>
      <c r="F54" s="7" t="s">
        <v>322</v>
      </c>
    </row>
    <row r="55" spans="1:6" ht="42" customHeight="1">
      <c r="A55" s="1" t="s">
        <v>57</v>
      </c>
      <c r="B55" s="7" t="s">
        <v>323</v>
      </c>
      <c r="C55" s="6" t="s">
        <v>280</v>
      </c>
      <c r="D55" s="1" t="s">
        <v>9</v>
      </c>
      <c r="E55" s="7" t="s">
        <v>289</v>
      </c>
      <c r="F55" s="7" t="s">
        <v>324</v>
      </c>
    </row>
    <row r="56" spans="1:6" ht="42" customHeight="1">
      <c r="A56" s="1" t="s">
        <v>57</v>
      </c>
      <c r="B56" s="7" t="s">
        <v>325</v>
      </c>
      <c r="C56" s="6" t="s">
        <v>280</v>
      </c>
      <c r="D56" s="1" t="s">
        <v>9</v>
      </c>
      <c r="E56" s="7" t="s">
        <v>289</v>
      </c>
      <c r="F56" s="7" t="s">
        <v>326</v>
      </c>
    </row>
    <row r="57" spans="1:6" ht="42" customHeight="1">
      <c r="A57" s="1" t="s">
        <v>57</v>
      </c>
      <c r="B57" s="7" t="s">
        <v>327</v>
      </c>
      <c r="C57" s="6">
        <v>1</v>
      </c>
      <c r="D57" s="1" t="s">
        <v>318</v>
      </c>
      <c r="E57" s="7" t="s">
        <v>328</v>
      </c>
      <c r="F57" s="7" t="s">
        <v>329</v>
      </c>
    </row>
    <row r="58" spans="1:6" ht="42" customHeight="1">
      <c r="A58" s="1" t="s">
        <v>57</v>
      </c>
      <c r="B58" s="7" t="s">
        <v>330</v>
      </c>
      <c r="C58" s="6" t="s">
        <v>280</v>
      </c>
      <c r="D58" s="1" t="s">
        <v>9</v>
      </c>
      <c r="E58" s="7" t="s">
        <v>289</v>
      </c>
      <c r="F58" s="7" t="s">
        <v>331</v>
      </c>
    </row>
    <row r="59" spans="1:6" ht="42" customHeight="1">
      <c r="A59" s="1" t="s">
        <v>65</v>
      </c>
      <c r="B59" s="7" t="s">
        <v>332</v>
      </c>
      <c r="C59" s="6">
        <v>1</v>
      </c>
      <c r="D59" s="1" t="s">
        <v>67</v>
      </c>
      <c r="E59" s="7" t="s">
        <v>333</v>
      </c>
      <c r="F59" s="7" t="s">
        <v>334</v>
      </c>
    </row>
    <row r="60" spans="1:6" ht="42" customHeight="1">
      <c r="A60" s="1" t="s">
        <v>65</v>
      </c>
      <c r="B60" s="7" t="s">
        <v>335</v>
      </c>
      <c r="C60" s="6" t="s">
        <v>280</v>
      </c>
      <c r="D60" s="1" t="s">
        <v>49</v>
      </c>
      <c r="E60" s="7" t="s">
        <v>281</v>
      </c>
      <c r="F60" s="7" t="s">
        <v>336</v>
      </c>
    </row>
    <row r="61" spans="1:6" ht="42" customHeight="1">
      <c r="A61" s="1" t="s">
        <v>65</v>
      </c>
      <c r="B61" s="7" t="s">
        <v>337</v>
      </c>
      <c r="C61" s="6">
        <v>1</v>
      </c>
      <c r="D61" s="1" t="s">
        <v>67</v>
      </c>
      <c r="E61" s="7" t="s">
        <v>310</v>
      </c>
      <c r="F61" s="7" t="s">
        <v>338</v>
      </c>
    </row>
    <row r="62" spans="1:6" ht="42" customHeight="1">
      <c r="A62" s="1" t="s">
        <v>65</v>
      </c>
      <c r="B62" s="7" t="s">
        <v>339</v>
      </c>
      <c r="C62" s="6" t="s">
        <v>280</v>
      </c>
      <c r="D62" s="1" t="s">
        <v>9</v>
      </c>
      <c r="E62" s="7" t="s">
        <v>289</v>
      </c>
      <c r="F62" s="7" t="s">
        <v>340</v>
      </c>
    </row>
    <row r="63" spans="1:6" ht="42" customHeight="1">
      <c r="A63" s="1" t="s">
        <v>65</v>
      </c>
      <c r="B63" s="7" t="s">
        <v>341</v>
      </c>
      <c r="C63" s="6" t="s">
        <v>280</v>
      </c>
      <c r="D63" s="1" t="s">
        <v>342</v>
      </c>
      <c r="E63" s="7" t="s">
        <v>281</v>
      </c>
      <c r="F63" s="7" t="s">
        <v>343</v>
      </c>
    </row>
    <row r="64" spans="1:6" ht="42" customHeight="1">
      <c r="A64" s="1" t="s">
        <v>65</v>
      </c>
      <c r="B64" s="7" t="s">
        <v>344</v>
      </c>
      <c r="C64" s="6">
        <v>2</v>
      </c>
      <c r="D64" s="1" t="s">
        <v>49</v>
      </c>
      <c r="E64" s="7" t="s">
        <v>220</v>
      </c>
      <c r="F64" s="7" t="s">
        <v>345</v>
      </c>
    </row>
    <row r="65" spans="1:6" ht="42" customHeight="1">
      <c r="A65" s="1" t="s">
        <v>65</v>
      </c>
      <c r="B65" s="7" t="s">
        <v>346</v>
      </c>
      <c r="C65" s="6">
        <v>1</v>
      </c>
      <c r="D65" s="1" t="s">
        <v>49</v>
      </c>
      <c r="E65" s="7" t="s">
        <v>89</v>
      </c>
      <c r="F65" s="7" t="s">
        <v>347</v>
      </c>
    </row>
    <row r="66" spans="1:6" ht="42" customHeight="1">
      <c r="A66" s="1" t="s">
        <v>65</v>
      </c>
      <c r="B66" s="7" t="s">
        <v>348</v>
      </c>
      <c r="C66" s="6">
        <v>73</v>
      </c>
      <c r="D66" s="1" t="s">
        <v>73</v>
      </c>
      <c r="E66" s="7" t="s">
        <v>89</v>
      </c>
      <c r="F66" s="7" t="s">
        <v>349</v>
      </c>
    </row>
    <row r="67" spans="1:6" ht="42" customHeight="1">
      <c r="A67" s="1" t="s">
        <v>65</v>
      </c>
      <c r="B67" s="7" t="s">
        <v>350</v>
      </c>
      <c r="C67" s="6" t="s">
        <v>280</v>
      </c>
      <c r="D67" s="1" t="s">
        <v>49</v>
      </c>
      <c r="E67" s="7" t="s">
        <v>281</v>
      </c>
      <c r="F67" s="7" t="s">
        <v>351</v>
      </c>
    </row>
    <row r="68" spans="1:6" ht="42" customHeight="1">
      <c r="A68" s="1" t="s">
        <v>65</v>
      </c>
      <c r="B68" s="7" t="s">
        <v>352</v>
      </c>
      <c r="C68" s="6">
        <v>1</v>
      </c>
      <c r="D68" s="1" t="s">
        <v>303</v>
      </c>
      <c r="E68" s="7" t="s">
        <v>249</v>
      </c>
      <c r="F68" s="7" t="s">
        <v>353</v>
      </c>
    </row>
    <row r="69" spans="1:6" ht="42" customHeight="1">
      <c r="A69" s="1" t="s">
        <v>65</v>
      </c>
      <c r="B69" s="7" t="s">
        <v>354</v>
      </c>
      <c r="C69" s="6" t="s">
        <v>280</v>
      </c>
      <c r="D69" s="1" t="s">
        <v>342</v>
      </c>
      <c r="E69" s="7" t="s">
        <v>289</v>
      </c>
      <c r="F69" s="7" t="s">
        <v>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C934A"/>
  </sheetPr>
  <dimension ref="A1:E91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49" customWidth="1"/>
    <col min="2" max="2" width="17" customWidth="1"/>
    <col min="3" max="3" width="12" customWidth="1"/>
    <col min="4" max="4" width="23" customWidth="1"/>
    <col min="5" max="5" width="91" customWidth="1"/>
  </cols>
  <sheetData>
    <row r="1" spans="1:5" ht="26.1" customHeight="1">
      <c r="A1" s="1"/>
      <c r="B1" s="1"/>
      <c r="C1" s="1"/>
      <c r="D1" s="1"/>
      <c r="E1" s="1"/>
    </row>
    <row r="2" spans="1:5" ht="26.1" customHeight="1">
      <c r="A2" s="2" t="s">
        <v>356</v>
      </c>
      <c r="B2" s="1"/>
      <c r="C2" s="1"/>
      <c r="D2" s="1"/>
      <c r="E2" s="1"/>
    </row>
    <row r="3" spans="1:5" ht="26.1" customHeight="1">
      <c r="A3" s="1"/>
      <c r="B3" s="1"/>
      <c r="C3" s="1"/>
      <c r="D3" s="1"/>
      <c r="E3" s="1"/>
    </row>
    <row r="4" spans="1:5" ht="30" customHeight="1">
      <c r="A4" s="8" t="s">
        <v>357</v>
      </c>
      <c r="B4" s="8" t="s">
        <v>358</v>
      </c>
      <c r="C4" s="8" t="s">
        <v>5</v>
      </c>
      <c r="D4" s="8" t="s">
        <v>80</v>
      </c>
      <c r="E4" s="8" t="s">
        <v>359</v>
      </c>
    </row>
    <row r="5" spans="1:5" ht="26.1" customHeight="1">
      <c r="A5" s="1" t="s">
        <v>360</v>
      </c>
      <c r="B5" s="10">
        <v>33</v>
      </c>
      <c r="C5" s="1" t="s">
        <v>9</v>
      </c>
      <c r="D5" s="1" t="s">
        <v>361</v>
      </c>
      <c r="E5" s="1" t="s">
        <v>362</v>
      </c>
    </row>
    <row r="6" spans="1:5" ht="26.1" customHeight="1">
      <c r="A6" s="1" t="s">
        <v>363</v>
      </c>
      <c r="B6" s="10">
        <v>36.083333333333336</v>
      </c>
      <c r="C6" s="1" t="s">
        <v>9</v>
      </c>
      <c r="D6" s="1" t="s">
        <v>361</v>
      </c>
      <c r="E6" s="1" t="s">
        <v>364</v>
      </c>
    </row>
    <row r="7" spans="1:5" ht="26.1" customHeight="1">
      <c r="A7" s="1" t="s">
        <v>365</v>
      </c>
      <c r="B7" s="10">
        <v>20</v>
      </c>
      <c r="C7" s="1" t="s">
        <v>9</v>
      </c>
      <c r="D7" s="1" t="s">
        <v>361</v>
      </c>
      <c r="E7" s="1" t="s">
        <v>362</v>
      </c>
    </row>
    <row r="8" spans="1:5" ht="26.1" customHeight="1">
      <c r="A8" s="1" t="s">
        <v>366</v>
      </c>
      <c r="B8" s="10">
        <v>20</v>
      </c>
      <c r="C8" s="1" t="s">
        <v>9</v>
      </c>
      <c r="D8" s="1" t="s">
        <v>361</v>
      </c>
      <c r="E8" s="1" t="s">
        <v>362</v>
      </c>
    </row>
    <row r="9" spans="1:5" ht="26.1" customHeight="1">
      <c r="A9" s="1" t="s">
        <v>367</v>
      </c>
      <c r="B9" s="10">
        <v>18.166666666666668</v>
      </c>
      <c r="C9" s="1" t="s">
        <v>9</v>
      </c>
      <c r="D9" s="1" t="s">
        <v>361</v>
      </c>
      <c r="E9" s="1" t="s">
        <v>362</v>
      </c>
    </row>
    <row r="10" spans="1:5" ht="26.1" customHeight="1">
      <c r="A10" s="1" t="s">
        <v>368</v>
      </c>
      <c r="B10" s="10">
        <v>33</v>
      </c>
      <c r="C10" s="1" t="s">
        <v>12</v>
      </c>
      <c r="D10" s="1" t="s">
        <v>89</v>
      </c>
      <c r="E10" s="1" t="s">
        <v>369</v>
      </c>
    </row>
    <row r="11" spans="1:5" ht="26.1" customHeight="1">
      <c r="A11" s="1" t="s">
        <v>370</v>
      </c>
      <c r="B11" s="10">
        <v>5.833333333333333</v>
      </c>
      <c r="C11" s="1" t="s">
        <v>9</v>
      </c>
      <c r="D11" s="1" t="s">
        <v>361</v>
      </c>
      <c r="E11" s="1" t="s">
        <v>362</v>
      </c>
    </row>
    <row r="12" spans="1:5" ht="26.1" customHeight="1">
      <c r="A12" s="1" t="s">
        <v>371</v>
      </c>
      <c r="B12" s="10">
        <v>5.416666666666667</v>
      </c>
      <c r="C12" s="1" t="s">
        <v>9</v>
      </c>
      <c r="D12" s="1" t="s">
        <v>361</v>
      </c>
      <c r="E12" s="1" t="s">
        <v>362</v>
      </c>
    </row>
    <row r="13" spans="1:5" ht="26.1" customHeight="1">
      <c r="A13" s="1" t="s">
        <v>372</v>
      </c>
      <c r="B13" s="10">
        <v>8</v>
      </c>
      <c r="C13" s="1" t="s">
        <v>373</v>
      </c>
      <c r="D13" s="1" t="s">
        <v>361</v>
      </c>
      <c r="E13" s="1" t="s">
        <v>374</v>
      </c>
    </row>
    <row r="14" spans="1:5" ht="26.1" customHeight="1">
      <c r="A14" s="1" t="s">
        <v>375</v>
      </c>
      <c r="B14" s="10">
        <v>8.5</v>
      </c>
      <c r="C14" s="1" t="s">
        <v>373</v>
      </c>
      <c r="D14" s="1" t="s">
        <v>361</v>
      </c>
      <c r="E14" s="1" t="s">
        <v>376</v>
      </c>
    </row>
    <row r="15" spans="1:5" ht="26.1" customHeight="1">
      <c r="A15" s="1" t="s">
        <v>377</v>
      </c>
      <c r="B15" s="10">
        <v>1222</v>
      </c>
      <c r="C15" s="1" t="s">
        <v>12</v>
      </c>
      <c r="D15" s="1" t="s">
        <v>89</v>
      </c>
      <c r="E15" s="1" t="s">
        <v>378</v>
      </c>
    </row>
    <row r="16" spans="1:5" ht="26.1" customHeight="1">
      <c r="A16" s="1" t="s">
        <v>379</v>
      </c>
      <c r="B16" s="10">
        <v>17.333333333333332</v>
      </c>
      <c r="C16" s="1" t="s">
        <v>9</v>
      </c>
      <c r="D16" s="1" t="s">
        <v>97</v>
      </c>
      <c r="E16" s="1" t="s">
        <v>380</v>
      </c>
    </row>
    <row r="17" spans="1:5" ht="26.1" customHeight="1">
      <c r="A17" s="1" t="s">
        <v>381</v>
      </c>
      <c r="B17" s="10">
        <v>1</v>
      </c>
      <c r="C17" s="1" t="s">
        <v>373</v>
      </c>
      <c r="D17" s="1" t="s">
        <v>89</v>
      </c>
      <c r="E17" s="1" t="s">
        <v>382</v>
      </c>
    </row>
    <row r="18" spans="1:5" ht="26.1" customHeight="1">
      <c r="A18" s="1" t="s">
        <v>383</v>
      </c>
      <c r="B18" s="10">
        <v>2</v>
      </c>
      <c r="C18" s="1" t="s">
        <v>373</v>
      </c>
      <c r="D18" s="1" t="s">
        <v>89</v>
      </c>
      <c r="E18" s="1" t="s">
        <v>384</v>
      </c>
    </row>
    <row r="19" spans="1:5" ht="26.1" customHeight="1">
      <c r="A19" s="1" t="s">
        <v>385</v>
      </c>
      <c r="B19" s="10">
        <v>0.33333333333333331</v>
      </c>
      <c r="C19" s="1" t="s">
        <v>373</v>
      </c>
      <c r="D19" s="1" t="s">
        <v>89</v>
      </c>
      <c r="E19" s="1" t="s">
        <v>386</v>
      </c>
    </row>
    <row r="20" spans="1:5" ht="26.1" customHeight="1">
      <c r="A20" s="1" t="s">
        <v>387</v>
      </c>
      <c r="B20" s="10">
        <v>4</v>
      </c>
      <c r="C20" s="1" t="s">
        <v>388</v>
      </c>
      <c r="D20" s="1" t="s">
        <v>89</v>
      </c>
      <c r="E20" s="1" t="s">
        <v>389</v>
      </c>
    </row>
    <row r="21" spans="1:5" ht="26.1" customHeight="1">
      <c r="A21" s="1" t="s">
        <v>390</v>
      </c>
      <c r="B21" s="10">
        <v>12</v>
      </c>
      <c r="C21" s="1" t="s">
        <v>388</v>
      </c>
      <c r="D21" s="1" t="s">
        <v>89</v>
      </c>
      <c r="E21" s="1" t="s">
        <v>389</v>
      </c>
    </row>
    <row r="22" spans="1:5" ht="26.1" customHeight="1">
      <c r="A22" s="1" t="s">
        <v>391</v>
      </c>
      <c r="B22" s="10">
        <v>1960.78</v>
      </c>
      <c r="C22" s="1" t="s">
        <v>12</v>
      </c>
      <c r="D22" s="1" t="s">
        <v>97</v>
      </c>
      <c r="E22" s="1" t="s">
        <v>392</v>
      </c>
    </row>
    <row r="23" spans="1:5" ht="26.1" customHeight="1">
      <c r="A23" s="1" t="s">
        <v>393</v>
      </c>
      <c r="B23" s="11">
        <v>0.1</v>
      </c>
      <c r="C23" s="1" t="s">
        <v>394</v>
      </c>
      <c r="D23" s="1" t="s">
        <v>177</v>
      </c>
      <c r="E23" s="1" t="s">
        <v>395</v>
      </c>
    </row>
    <row r="24" spans="1:5" ht="26.1" customHeight="1">
      <c r="A24" s="1" t="s">
        <v>396</v>
      </c>
      <c r="B24" s="11">
        <v>0.1</v>
      </c>
      <c r="C24" s="1" t="s">
        <v>394</v>
      </c>
      <c r="D24" s="1" t="s">
        <v>177</v>
      </c>
      <c r="E24" s="1" t="s">
        <v>397</v>
      </c>
    </row>
    <row r="25" spans="1:5" ht="26.1" customHeight="1">
      <c r="A25" s="1" t="s">
        <v>398</v>
      </c>
      <c r="B25" s="11">
        <v>0.05</v>
      </c>
      <c r="C25" s="1" t="s">
        <v>394</v>
      </c>
      <c r="D25" s="1" t="s">
        <v>177</v>
      </c>
      <c r="E25" s="1" t="s">
        <v>399</v>
      </c>
    </row>
    <row r="26" spans="1:5" ht="26.1" customHeight="1">
      <c r="A26" s="1" t="s">
        <v>400</v>
      </c>
      <c r="B26" s="11">
        <v>0.1</v>
      </c>
      <c r="C26" s="1" t="s">
        <v>394</v>
      </c>
      <c r="D26" s="1" t="s">
        <v>177</v>
      </c>
      <c r="E26" s="1" t="s">
        <v>401</v>
      </c>
    </row>
    <row r="27" spans="1:5" ht="26.1" customHeight="1">
      <c r="A27" s="1" t="s">
        <v>402</v>
      </c>
      <c r="B27" s="10">
        <v>0.375</v>
      </c>
      <c r="C27" s="1" t="s">
        <v>373</v>
      </c>
      <c r="D27" s="1" t="s">
        <v>177</v>
      </c>
      <c r="E27" s="1" t="s">
        <v>403</v>
      </c>
    </row>
    <row r="28" spans="1:5" ht="26.1" customHeight="1">
      <c r="A28" s="1" t="s">
        <v>404</v>
      </c>
      <c r="B28" s="10">
        <v>0.45833333333333331</v>
      </c>
      <c r="C28" s="1" t="s">
        <v>373</v>
      </c>
      <c r="D28" s="1" t="s">
        <v>177</v>
      </c>
      <c r="E28" s="1" t="s">
        <v>405</v>
      </c>
    </row>
    <row r="29" spans="1:5" ht="26.1" customHeight="1">
      <c r="A29" s="1" t="s">
        <v>406</v>
      </c>
      <c r="B29" s="10">
        <v>70</v>
      </c>
      <c r="C29" s="1" t="s">
        <v>12</v>
      </c>
      <c r="D29" s="1" t="s">
        <v>407</v>
      </c>
      <c r="E29" s="1" t="s">
        <v>408</v>
      </c>
    </row>
    <row r="30" spans="1:5" ht="26.1" customHeight="1">
      <c r="A30" s="1" t="s">
        <v>409</v>
      </c>
      <c r="B30" s="10">
        <v>33.333333333333329</v>
      </c>
      <c r="C30" s="1" t="s">
        <v>9</v>
      </c>
      <c r="D30" s="1" t="s">
        <v>171</v>
      </c>
      <c r="E30" s="1" t="s">
        <v>410</v>
      </c>
    </row>
    <row r="31" spans="1:5" ht="26.1" customHeight="1">
      <c r="A31" s="1" t="s">
        <v>411</v>
      </c>
      <c r="B31" s="10">
        <v>6.666666666666667</v>
      </c>
      <c r="C31" s="1" t="s">
        <v>373</v>
      </c>
      <c r="D31" s="1" t="s">
        <v>89</v>
      </c>
      <c r="E31" s="1" t="s">
        <v>412</v>
      </c>
    </row>
    <row r="32" spans="1:5" ht="26.1" customHeight="1">
      <c r="A32" s="1" t="s">
        <v>413</v>
      </c>
      <c r="B32" s="10">
        <v>106</v>
      </c>
      <c r="C32" s="1" t="s">
        <v>12</v>
      </c>
      <c r="D32" s="1" t="s">
        <v>171</v>
      </c>
      <c r="E32" s="1" t="s">
        <v>414</v>
      </c>
    </row>
    <row r="33" spans="1:5" ht="26.1" customHeight="1">
      <c r="A33" s="1" t="s">
        <v>415</v>
      </c>
      <c r="B33" s="10">
        <v>73.333333333333343</v>
      </c>
      <c r="C33" s="1" t="s">
        <v>12</v>
      </c>
      <c r="D33" s="1" t="s">
        <v>171</v>
      </c>
      <c r="E33" s="1" t="s">
        <v>416</v>
      </c>
    </row>
    <row r="34" spans="1:5" ht="26.1" customHeight="1">
      <c r="A34" s="1" t="s">
        <v>417</v>
      </c>
      <c r="B34" s="10">
        <v>17.777777777777779</v>
      </c>
      <c r="C34" s="1" t="s">
        <v>12</v>
      </c>
      <c r="D34" s="1" t="s">
        <v>171</v>
      </c>
      <c r="E34" s="1" t="s">
        <v>418</v>
      </c>
    </row>
    <row r="35" spans="1:5" ht="26.1" customHeight="1">
      <c r="A35" s="1" t="s">
        <v>419</v>
      </c>
      <c r="B35" s="10">
        <v>106.66666666666667</v>
      </c>
      <c r="C35" s="1" t="s">
        <v>12</v>
      </c>
      <c r="D35" s="1" t="s">
        <v>171</v>
      </c>
      <c r="E35" s="1" t="s">
        <v>420</v>
      </c>
    </row>
    <row r="36" spans="1:5" ht="26.1" customHeight="1">
      <c r="A36" s="1" t="s">
        <v>421</v>
      </c>
      <c r="B36" s="9">
        <f>SUM(B48:B64)</f>
        <v>152.41666666666666</v>
      </c>
      <c r="C36" s="1" t="s">
        <v>9</v>
      </c>
      <c r="D36" s="1" t="s">
        <v>422</v>
      </c>
      <c r="E36" s="1" t="s">
        <v>423</v>
      </c>
    </row>
    <row r="37" spans="1:5" ht="26.1" customHeight="1">
      <c r="A37" s="1" t="s">
        <v>424</v>
      </c>
      <c r="B37" s="9">
        <f>2*(B5+B6)</f>
        <v>138.16666666666669</v>
      </c>
      <c r="C37" s="1" t="s">
        <v>9</v>
      </c>
      <c r="D37" s="1" t="s">
        <v>102</v>
      </c>
      <c r="E37" s="1" t="s">
        <v>425</v>
      </c>
    </row>
    <row r="38" spans="1:5" ht="26.1" customHeight="1">
      <c r="A38" s="1" t="s">
        <v>426</v>
      </c>
      <c r="B38" s="9">
        <f>B5-B9</f>
        <v>14.833333333333332</v>
      </c>
      <c r="C38" s="1" t="s">
        <v>9</v>
      </c>
      <c r="D38" s="1" t="s">
        <v>102</v>
      </c>
      <c r="E38" s="1" t="s">
        <v>427</v>
      </c>
    </row>
    <row r="39" spans="1:5" ht="26.1" customHeight="1">
      <c r="A39" s="1" t="s">
        <v>428</v>
      </c>
      <c r="B39" s="9">
        <f>2*(B7+B8)-B38</f>
        <v>65.166666666666671</v>
      </c>
      <c r="C39" s="1" t="s">
        <v>9</v>
      </c>
      <c r="D39" s="1" t="s">
        <v>102</v>
      </c>
      <c r="E39" s="1" t="s">
        <v>429</v>
      </c>
    </row>
    <row r="40" spans="1:5" ht="26.1" customHeight="1">
      <c r="A40" s="1" t="s">
        <v>430</v>
      </c>
      <c r="B40" s="9">
        <f>B37+2*(B7+B8)-2*B38</f>
        <v>188.50000000000003</v>
      </c>
      <c r="C40" s="1" t="s">
        <v>9</v>
      </c>
      <c r="D40" s="1" t="s">
        <v>102</v>
      </c>
      <c r="E40" s="1" t="s">
        <v>431</v>
      </c>
    </row>
    <row r="41" spans="1:5" ht="26.1" customHeight="1">
      <c r="A41" s="1" t="s">
        <v>432</v>
      </c>
      <c r="B41" s="9">
        <f>B5*B6</f>
        <v>1190.75</v>
      </c>
      <c r="C41" s="1" t="s">
        <v>12</v>
      </c>
      <c r="D41" s="1" t="s">
        <v>102</v>
      </c>
      <c r="E41" s="1" t="s">
        <v>433</v>
      </c>
    </row>
    <row r="42" spans="1:5" ht="26.1" customHeight="1">
      <c r="A42" s="1" t="s">
        <v>434</v>
      </c>
      <c r="B42" s="9">
        <f>B15-B41</f>
        <v>31.25</v>
      </c>
      <c r="C42" s="1" t="s">
        <v>12</v>
      </c>
      <c r="D42" s="1" t="s">
        <v>102</v>
      </c>
      <c r="E42" s="1" t="s">
        <v>435</v>
      </c>
    </row>
    <row r="43" spans="1:5" ht="26.1" customHeight="1">
      <c r="A43" s="1" t="s">
        <v>436</v>
      </c>
      <c r="B43" s="9">
        <f>SQRT(1+(B20/B21)^2)</f>
        <v>1.0540925533894598</v>
      </c>
      <c r="C43" s="1" t="s">
        <v>394</v>
      </c>
      <c r="D43" s="1" t="s">
        <v>102</v>
      </c>
      <c r="E43" s="1" t="s">
        <v>437</v>
      </c>
    </row>
    <row r="44" spans="1:5" ht="26.1" customHeight="1">
      <c r="A44" s="1"/>
      <c r="B44" s="9"/>
      <c r="C44" s="1"/>
      <c r="D44" s="1"/>
      <c r="E44" s="1"/>
    </row>
    <row r="45" spans="1:5" ht="26.1" customHeight="1">
      <c r="A45" s="1"/>
      <c r="B45" s="9"/>
      <c r="C45" s="1"/>
      <c r="D45" s="1"/>
      <c r="E45" s="1"/>
    </row>
    <row r="46" spans="1:5" ht="26.1" customHeight="1">
      <c r="A46" s="1" t="s">
        <v>438</v>
      </c>
      <c r="B46" s="9"/>
      <c r="C46" s="1"/>
      <c r="D46" s="1"/>
      <c r="E46" s="1"/>
    </row>
    <row r="47" spans="1:5" ht="26.1" customHeight="1">
      <c r="A47" s="12" t="s">
        <v>439</v>
      </c>
      <c r="B47" s="13" t="s">
        <v>440</v>
      </c>
      <c r="C47" s="12" t="s">
        <v>5</v>
      </c>
      <c r="D47" s="12" t="s">
        <v>80</v>
      </c>
      <c r="E47" s="12" t="s">
        <v>441</v>
      </c>
    </row>
    <row r="48" spans="1:5" ht="26.1" customHeight="1">
      <c r="A48" s="1" t="s">
        <v>442</v>
      </c>
      <c r="B48" s="9">
        <v>36.083333333333336</v>
      </c>
      <c r="C48" s="1" t="s">
        <v>9</v>
      </c>
      <c r="D48" s="1" t="s">
        <v>97</v>
      </c>
      <c r="E48" s="1" t="s">
        <v>443</v>
      </c>
    </row>
    <row r="49" spans="1:5" ht="26.1" customHeight="1">
      <c r="A49" s="1" t="s">
        <v>444</v>
      </c>
      <c r="B49" s="9">
        <v>13.416666666666666</v>
      </c>
      <c r="C49" s="1" t="s">
        <v>9</v>
      </c>
      <c r="D49" s="1" t="s">
        <v>97</v>
      </c>
      <c r="E49" s="1" t="s">
        <v>443</v>
      </c>
    </row>
    <row r="50" spans="1:5" ht="26.1" customHeight="1">
      <c r="A50" s="1" t="s">
        <v>445</v>
      </c>
      <c r="B50" s="9">
        <v>17.333333333333332</v>
      </c>
      <c r="C50" s="1" t="s">
        <v>9</v>
      </c>
      <c r="D50" s="1" t="s">
        <v>97</v>
      </c>
      <c r="E50" s="1" t="s">
        <v>443</v>
      </c>
    </row>
    <row r="51" spans="1:5" ht="26.1" customHeight="1">
      <c r="A51" s="1" t="s">
        <v>446</v>
      </c>
      <c r="B51" s="9">
        <v>11.916666666666666</v>
      </c>
      <c r="C51" s="1" t="s">
        <v>9</v>
      </c>
      <c r="D51" s="1" t="s">
        <v>97</v>
      </c>
      <c r="E51" s="1" t="s">
        <v>443</v>
      </c>
    </row>
    <row r="52" spans="1:5" ht="26.1" customHeight="1">
      <c r="A52" s="1" t="s">
        <v>447</v>
      </c>
      <c r="B52" s="9">
        <v>11.916666666666666</v>
      </c>
      <c r="C52" s="1" t="s">
        <v>9</v>
      </c>
      <c r="D52" s="1" t="s">
        <v>97</v>
      </c>
      <c r="E52" s="1" t="s">
        <v>443</v>
      </c>
    </row>
    <row r="53" spans="1:5" ht="26.1" customHeight="1">
      <c r="A53" s="1" t="s">
        <v>448</v>
      </c>
      <c r="B53" s="9">
        <v>11.916666666666666</v>
      </c>
      <c r="C53" s="1" t="s">
        <v>9</v>
      </c>
      <c r="D53" s="1" t="s">
        <v>97</v>
      </c>
      <c r="E53" s="1" t="s">
        <v>443</v>
      </c>
    </row>
    <row r="54" spans="1:5" ht="26.1" customHeight="1">
      <c r="A54" s="1" t="s">
        <v>449</v>
      </c>
      <c r="B54" s="9">
        <v>5</v>
      </c>
      <c r="C54" s="1" t="s">
        <v>9</v>
      </c>
      <c r="D54" s="1" t="s">
        <v>97</v>
      </c>
      <c r="E54" s="1" t="s">
        <v>443</v>
      </c>
    </row>
    <row r="55" spans="1:5" ht="26.1" customHeight="1">
      <c r="A55" s="1" t="s">
        <v>450</v>
      </c>
      <c r="B55" s="9">
        <v>5.583333333333333</v>
      </c>
      <c r="C55" s="1" t="s">
        <v>9</v>
      </c>
      <c r="D55" s="1" t="s">
        <v>97</v>
      </c>
      <c r="E55" s="1" t="s">
        <v>443</v>
      </c>
    </row>
    <row r="56" spans="1:5" ht="26.1" customHeight="1">
      <c r="A56" s="1" t="s">
        <v>451</v>
      </c>
      <c r="B56" s="9">
        <v>2.5</v>
      </c>
      <c r="C56" s="1" t="s">
        <v>9</v>
      </c>
      <c r="D56" s="1" t="s">
        <v>97</v>
      </c>
      <c r="E56" s="1" t="s">
        <v>443</v>
      </c>
    </row>
    <row r="57" spans="1:5" ht="26.1" customHeight="1">
      <c r="A57" s="1" t="s">
        <v>452</v>
      </c>
      <c r="B57" s="9">
        <v>6.666666666666667</v>
      </c>
      <c r="C57" s="1" t="s">
        <v>9</v>
      </c>
      <c r="D57" s="1" t="s">
        <v>97</v>
      </c>
      <c r="E57" s="1" t="s">
        <v>443</v>
      </c>
    </row>
    <row r="58" spans="1:5" ht="26.1" customHeight="1">
      <c r="A58" s="1" t="s">
        <v>453</v>
      </c>
      <c r="B58" s="9">
        <v>5.666666666666667</v>
      </c>
      <c r="C58" s="1" t="s">
        <v>9</v>
      </c>
      <c r="D58" s="1" t="s">
        <v>97</v>
      </c>
      <c r="E58" s="1" t="s">
        <v>443</v>
      </c>
    </row>
    <row r="59" spans="1:5" ht="26.1" customHeight="1">
      <c r="A59" s="1" t="s">
        <v>454</v>
      </c>
      <c r="B59" s="9">
        <v>3.4166666666666665</v>
      </c>
      <c r="C59" s="1" t="s">
        <v>9</v>
      </c>
      <c r="D59" s="1" t="s">
        <v>97</v>
      </c>
      <c r="E59" s="1" t="s">
        <v>443</v>
      </c>
    </row>
    <row r="60" spans="1:5" ht="26.1" customHeight="1">
      <c r="A60" s="1" t="s">
        <v>455</v>
      </c>
      <c r="B60" s="9">
        <v>5.666666666666667</v>
      </c>
      <c r="C60" s="1" t="s">
        <v>9</v>
      </c>
      <c r="D60" s="1" t="s">
        <v>97</v>
      </c>
      <c r="E60" s="1" t="s">
        <v>443</v>
      </c>
    </row>
    <row r="61" spans="1:5" ht="26.1" customHeight="1">
      <c r="A61" s="1" t="s">
        <v>456</v>
      </c>
      <c r="B61" s="9">
        <v>6</v>
      </c>
      <c r="C61" s="1" t="s">
        <v>9</v>
      </c>
      <c r="D61" s="1" t="s">
        <v>97</v>
      </c>
      <c r="E61" s="1" t="s">
        <v>443</v>
      </c>
    </row>
    <row r="62" spans="1:5" ht="26.1" customHeight="1">
      <c r="A62" s="1" t="s">
        <v>457</v>
      </c>
      <c r="B62" s="9">
        <v>2.5</v>
      </c>
      <c r="C62" s="1" t="s">
        <v>9</v>
      </c>
      <c r="D62" s="1" t="s">
        <v>97</v>
      </c>
      <c r="E62" s="1" t="s">
        <v>443</v>
      </c>
    </row>
    <row r="63" spans="1:5" ht="26.1" customHeight="1">
      <c r="A63" s="1" t="s">
        <v>458</v>
      </c>
      <c r="B63" s="9">
        <v>4.333333333333333</v>
      </c>
      <c r="C63" s="1" t="s">
        <v>9</v>
      </c>
      <c r="D63" s="1" t="s">
        <v>97</v>
      </c>
      <c r="E63" s="1" t="s">
        <v>443</v>
      </c>
    </row>
    <row r="64" spans="1:5" ht="26.1" customHeight="1">
      <c r="A64" s="1" t="s">
        <v>459</v>
      </c>
      <c r="B64" s="9">
        <v>2.5</v>
      </c>
      <c r="C64" s="1" t="s">
        <v>9</v>
      </c>
      <c r="D64" s="1" t="s">
        <v>97</v>
      </c>
      <c r="E64" s="1" t="s">
        <v>443</v>
      </c>
    </row>
    <row r="65" spans="1:5" ht="26.1" customHeight="1">
      <c r="A65" s="1"/>
      <c r="B65" s="9"/>
      <c r="C65" s="1"/>
      <c r="D65" s="1"/>
      <c r="E65" s="1"/>
    </row>
    <row r="66" spans="1:5" ht="26.1" customHeight="1">
      <c r="A66" s="1"/>
      <c r="B66" s="1"/>
      <c r="C66" s="1"/>
      <c r="D66" s="1"/>
      <c r="E66" s="1"/>
    </row>
    <row r="67" spans="1:5" ht="26.1" customHeight="1">
      <c r="A67" s="1"/>
      <c r="B67" s="1"/>
      <c r="C67" s="1"/>
      <c r="D67" s="1"/>
      <c r="E67" s="1"/>
    </row>
    <row r="68" spans="1:5" ht="26.1" customHeight="1">
      <c r="A68" s="1" t="s">
        <v>460</v>
      </c>
      <c r="B68" s="1"/>
      <c r="C68" s="1"/>
      <c r="D68" s="1"/>
      <c r="E68" s="1"/>
    </row>
    <row r="69" spans="1:5" ht="26.1" customHeight="1">
      <c r="A69" s="1"/>
      <c r="B69" s="1"/>
      <c r="C69" s="1"/>
      <c r="D69" s="1"/>
      <c r="E69" s="1"/>
    </row>
    <row r="70" spans="1:5" ht="44.1" customHeight="1">
      <c r="A70" s="17" t="s">
        <v>461</v>
      </c>
      <c r="B70" s="17"/>
      <c r="C70" s="17"/>
      <c r="D70" s="17"/>
      <c r="E70" s="17"/>
    </row>
    <row r="71" spans="1:5" ht="44.1" customHeight="1">
      <c r="A71" s="17" t="s">
        <v>462</v>
      </c>
      <c r="B71" s="17"/>
      <c r="C71" s="17"/>
      <c r="D71" s="17"/>
      <c r="E71" s="17"/>
    </row>
    <row r="72" spans="1:5" ht="44.1" customHeight="1">
      <c r="A72" s="17" t="s">
        <v>463</v>
      </c>
      <c r="B72" s="17"/>
      <c r="C72" s="17"/>
      <c r="D72" s="17"/>
      <c r="E72" s="17"/>
    </row>
    <row r="73" spans="1:5" ht="44.1" customHeight="1">
      <c r="A73" s="17" t="s">
        <v>464</v>
      </c>
      <c r="B73" s="17"/>
      <c r="C73" s="17"/>
      <c r="D73" s="17"/>
      <c r="E73" s="17"/>
    </row>
    <row r="74" spans="1:5" ht="44.1" customHeight="1">
      <c r="A74" s="17" t="s">
        <v>465</v>
      </c>
      <c r="B74" s="17"/>
      <c r="C74" s="17"/>
      <c r="D74" s="17"/>
      <c r="E74" s="17"/>
    </row>
    <row r="75" spans="1:5" ht="44.1" customHeight="1">
      <c r="A75" s="17" t="s">
        <v>466</v>
      </c>
      <c r="B75" s="17"/>
      <c r="C75" s="17"/>
      <c r="D75" s="17"/>
      <c r="E75" s="17"/>
    </row>
    <row r="76" spans="1:5" ht="44.1" customHeight="1">
      <c r="A76" s="17" t="s">
        <v>467</v>
      </c>
      <c r="B76" s="17"/>
      <c r="C76" s="17"/>
      <c r="D76" s="17"/>
      <c r="E76" s="17"/>
    </row>
    <row r="77" spans="1:5" ht="44.1" customHeight="1">
      <c r="A77" s="17" t="s">
        <v>468</v>
      </c>
      <c r="B77" s="17"/>
      <c r="C77" s="17"/>
      <c r="D77" s="17"/>
      <c r="E77" s="17"/>
    </row>
    <row r="78" spans="1:5" ht="44.1" customHeight="1">
      <c r="A78" s="17" t="s">
        <v>469</v>
      </c>
      <c r="B78" s="17"/>
      <c r="C78" s="17"/>
      <c r="D78" s="17"/>
      <c r="E78" s="17"/>
    </row>
    <row r="79" spans="1:5" ht="44.1" customHeight="1">
      <c r="A79" s="17" t="s">
        <v>470</v>
      </c>
      <c r="B79" s="17"/>
      <c r="C79" s="17"/>
      <c r="D79" s="17"/>
      <c r="E79" s="17"/>
    </row>
    <row r="80" spans="1:5" ht="44.1" customHeight="1">
      <c r="A80" s="17" t="s">
        <v>471</v>
      </c>
      <c r="B80" s="17"/>
      <c r="C80" s="17"/>
      <c r="D80" s="17"/>
      <c r="E80" s="17"/>
    </row>
    <row r="81" spans="1:5" ht="44.1" customHeight="1">
      <c r="A81" s="17" t="s">
        <v>472</v>
      </c>
      <c r="B81" s="17"/>
      <c r="C81" s="17"/>
      <c r="D81" s="17"/>
      <c r="E81" s="17"/>
    </row>
    <row r="82" spans="1:5" ht="44.1" customHeight="1">
      <c r="A82" s="17" t="s">
        <v>473</v>
      </c>
      <c r="B82" s="17"/>
      <c r="C82" s="17"/>
      <c r="D82" s="17"/>
      <c r="E82" s="17"/>
    </row>
    <row r="83" spans="1:5" ht="44.1" customHeight="1">
      <c r="A83" s="17" t="s">
        <v>474</v>
      </c>
      <c r="B83" s="17"/>
      <c r="C83" s="17"/>
      <c r="D83" s="17"/>
      <c r="E83" s="17"/>
    </row>
    <row r="84" spans="1:5" ht="44.1" customHeight="1">
      <c r="A84" s="17" t="s">
        <v>475</v>
      </c>
      <c r="B84" s="17"/>
      <c r="C84" s="17"/>
      <c r="D84" s="17"/>
      <c r="E84" s="17"/>
    </row>
    <row r="85" spans="1:5" ht="44.1" customHeight="1">
      <c r="A85" s="17" t="s">
        <v>476</v>
      </c>
      <c r="B85" s="17"/>
      <c r="C85" s="17"/>
      <c r="D85" s="17"/>
      <c r="E85" s="17"/>
    </row>
    <row r="86" spans="1:5" ht="44.1" customHeight="1">
      <c r="A86" s="17" t="s">
        <v>477</v>
      </c>
      <c r="B86" s="17"/>
      <c r="C86" s="17"/>
      <c r="D86" s="17"/>
      <c r="E86" s="17"/>
    </row>
    <row r="87" spans="1:5" ht="44.1" customHeight="1">
      <c r="A87" s="17" t="s">
        <v>478</v>
      </c>
      <c r="B87" s="17"/>
      <c r="C87" s="17"/>
      <c r="D87" s="17"/>
      <c r="E87" s="17"/>
    </row>
    <row r="88" spans="1:5" ht="44.1" customHeight="1">
      <c r="A88" s="17" t="s">
        <v>479</v>
      </c>
      <c r="B88" s="17"/>
      <c r="C88" s="17"/>
      <c r="D88" s="17"/>
      <c r="E88" s="17"/>
    </row>
    <row r="89" spans="1:5" ht="44.1" customHeight="1">
      <c r="A89" s="17" t="s">
        <v>480</v>
      </c>
      <c r="B89" s="17"/>
      <c r="C89" s="17"/>
      <c r="D89" s="17"/>
      <c r="E89" s="17"/>
    </row>
    <row r="90" spans="1:5" ht="44.1" customHeight="1">
      <c r="A90" s="17" t="s">
        <v>481</v>
      </c>
      <c r="B90" s="17"/>
      <c r="C90" s="17"/>
      <c r="D90" s="17"/>
      <c r="E90" s="17"/>
    </row>
    <row r="91" spans="1:5" ht="44.1" customHeight="1">
      <c r="A91" s="17" t="s">
        <v>482</v>
      </c>
      <c r="B91" s="17"/>
      <c r="C91" s="17"/>
      <c r="D91" s="17"/>
      <c r="E91" s="17"/>
    </row>
  </sheetData>
  <mergeCells count="22">
    <mergeCell ref="A90:E90"/>
    <mergeCell ref="A91:E91"/>
    <mergeCell ref="A85:E85"/>
    <mergeCell ref="A86:E86"/>
    <mergeCell ref="A87:E87"/>
    <mergeCell ref="A88:E88"/>
    <mergeCell ref="A89:E89"/>
    <mergeCell ref="A80:E80"/>
    <mergeCell ref="A81:E81"/>
    <mergeCell ref="A82:E82"/>
    <mergeCell ref="A83:E83"/>
    <mergeCell ref="A84:E84"/>
    <mergeCell ref="A75:E75"/>
    <mergeCell ref="A76:E76"/>
    <mergeCell ref="A77:E77"/>
    <mergeCell ref="A78:E78"/>
    <mergeCell ref="A79:E79"/>
    <mergeCell ref="A70:E70"/>
    <mergeCell ref="A71:E71"/>
    <mergeCell ref="A72:E72"/>
    <mergeCell ref="A73:E73"/>
    <mergeCell ref="A74:E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Building quantities</vt:lpstr>
      <vt:lpstr>MEP</vt:lpstr>
      <vt:lpstr>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Leon</dc:creator>
  <cp:lastModifiedBy>Robert Leon</cp:lastModifiedBy>
  <dcterms:created xsi:type="dcterms:W3CDTF">2026-09-30T02:18:13Z</dcterms:created>
  <dcterms:modified xsi:type="dcterms:W3CDTF">2026-09-30T02:18:13Z</dcterms:modified>
</cp:coreProperties>
</file>