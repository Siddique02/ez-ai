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b\Dropbox\1 current projects\Altadena\Altadena Project Manager\Plan\"/>
    </mc:Choice>
  </mc:AlternateContent>
  <xr:revisionPtr revIDLastSave="0" documentId="8_{E6856F77-D853-4283-B2A8-11E5ECD36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Trade quantities" sheetId="2" r:id="rId2"/>
    <sheet name="Measureme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3" l="1"/>
  <c r="B15" i="3"/>
  <c r="B11" i="3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D63" i="2"/>
  <c r="F63" i="2" s="1"/>
  <c r="D62" i="2"/>
  <c r="F62" i="2" s="1"/>
  <c r="D60" i="2"/>
  <c r="F60" i="2" s="1"/>
  <c r="D59" i="2"/>
  <c r="F58" i="2"/>
  <c r="D51" i="2"/>
  <c r="D50" i="2"/>
  <c r="D48" i="2"/>
  <c r="F48" i="2" s="1"/>
  <c r="D47" i="2"/>
  <c r="F47" i="2" s="1"/>
  <c r="D43" i="2"/>
  <c r="F43" i="2" s="1"/>
  <c r="D42" i="2"/>
  <c r="F42" i="2" s="1"/>
  <c r="D41" i="2"/>
  <c r="F41" i="2" s="1"/>
  <c r="D40" i="2"/>
  <c r="F40" i="2" s="1"/>
  <c r="D39" i="2"/>
  <c r="F39" i="2" s="1"/>
  <c r="D36" i="2"/>
  <c r="F36" i="2" s="1"/>
  <c r="D33" i="2"/>
  <c r="D32" i="2"/>
  <c r="F32" i="2" s="1"/>
  <c r="D31" i="2"/>
  <c r="F31" i="2" s="1"/>
  <c r="D30" i="2"/>
  <c r="F30" i="2" s="1"/>
  <c r="D29" i="2"/>
  <c r="F29" i="2" s="1"/>
  <c r="D28" i="2"/>
  <c r="F28" i="2" s="1"/>
  <c r="D27" i="2"/>
  <c r="F27" i="2" s="1"/>
  <c r="D26" i="2"/>
  <c r="F26" i="2" s="1"/>
  <c r="D25" i="2"/>
  <c r="F25" i="2" s="1"/>
  <c r="D23" i="2"/>
  <c r="D22" i="2"/>
  <c r="F22" i="2" s="1"/>
  <c r="D21" i="2"/>
  <c r="D20" i="2"/>
  <c r="F20" i="2" s="1"/>
  <c r="D19" i="2"/>
  <c r="F19" i="2" s="1"/>
  <c r="D18" i="2"/>
  <c r="F18" i="2" s="1"/>
  <c r="D14" i="2"/>
  <c r="F14" i="2" s="1"/>
  <c r="D13" i="2"/>
  <c r="D12" i="2"/>
  <c r="D11" i="2"/>
  <c r="D10" i="2"/>
  <c r="F10" i="2" s="1"/>
  <c r="D8" i="2"/>
  <c r="F8" i="2" s="1"/>
  <c r="D7" i="2"/>
  <c r="F7" i="2" s="1"/>
  <c r="D6" i="2"/>
  <c r="F6" i="2" s="1"/>
  <c r="D5" i="2"/>
  <c r="B16" i="1"/>
  <c r="B11" i="1"/>
  <c r="B8" i="1"/>
  <c r="B7" i="1"/>
  <c r="B6" i="1"/>
  <c r="D61" i="2" l="1"/>
  <c r="F59" i="2"/>
  <c r="D53" i="2"/>
  <c r="F53" i="2" s="1"/>
  <c r="F51" i="2"/>
  <c r="D52" i="2"/>
  <c r="F50" i="2"/>
  <c r="D34" i="2"/>
  <c r="F34" i="2" s="1"/>
  <c r="F33" i="2"/>
  <c r="D45" i="2"/>
  <c r="F45" i="2" s="1"/>
  <c r="F23" i="2"/>
  <c r="D35" i="2"/>
  <c r="D44" i="2"/>
  <c r="D24" i="2"/>
  <c r="F21" i="2"/>
  <c r="F13" i="2"/>
  <c r="D17" i="2"/>
  <c r="F17" i="2" s="1"/>
  <c r="D16" i="2"/>
  <c r="F16" i="2" s="1"/>
  <c r="F12" i="2"/>
  <c r="F11" i="2"/>
  <c r="D15" i="2"/>
  <c r="F15" i="2" s="1"/>
  <c r="D9" i="2"/>
  <c r="F5" i="2"/>
  <c r="F61" i="2" l="1"/>
  <c r="B15" i="1"/>
  <c r="D54" i="2"/>
  <c r="F52" i="2"/>
  <c r="F35" i="2"/>
  <c r="D37" i="2"/>
  <c r="F44" i="2"/>
  <c r="D46" i="2"/>
  <c r="F24" i="2"/>
  <c r="B9" i="1"/>
  <c r="F9" i="2"/>
  <c r="B5" i="1"/>
  <c r="F54" i="2" l="1"/>
  <c r="D55" i="2" s="1"/>
  <c r="F55" i="2" s="1"/>
  <c r="D56" i="2"/>
  <c r="F56" i="2" s="1"/>
  <c r="B14" i="1"/>
  <c r="D57" i="2"/>
  <c r="F57" i="2" s="1"/>
  <c r="B12" i="1"/>
  <c r="F37" i="2"/>
  <c r="D38" i="2" s="1"/>
  <c r="F38" i="2" s="1"/>
  <c r="F46" i="2"/>
  <c r="D49" i="2"/>
  <c r="F49" i="2" s="1"/>
  <c r="B13" i="1"/>
</calcChain>
</file>

<file path=xl/sharedStrings.xml><?xml version="1.0" encoding="utf-8"?>
<sst xmlns="http://schemas.openxmlformats.org/spreadsheetml/2006/main" count="984" uniqueCount="444">
  <si>
    <t>492 W Altadena Drive - takeoff summary</t>
  </si>
  <si>
    <t>Powell Residence | House 2,006 SF | Garage 420 SF | Porch 134 SF</t>
  </si>
  <si>
    <t>Scope</t>
  </si>
  <si>
    <t>Net quantity</t>
  </si>
  <si>
    <t>Unit</t>
  </si>
  <si>
    <t>Basis</t>
  </si>
  <si>
    <t>Key note</t>
  </si>
  <si>
    <t>Continuous footings</t>
  </si>
  <si>
    <t>LF</t>
  </si>
  <si>
    <t>Approximate</t>
  </si>
  <si>
    <t>Includes porch and garage; Hardy beam included once.</t>
  </si>
  <si>
    <t>Slab-on-grade, house + garage</t>
  </si>
  <si>
    <t>SF</t>
  </si>
  <si>
    <t>Scheduled</t>
  </si>
  <si>
    <t>4 inch slab; porch separate.</t>
  </si>
  <si>
    <t>Porch slab</t>
  </si>
  <si>
    <t>Thickness allowance 4 inches.</t>
  </si>
  <si>
    <t>Total slabs including porch</t>
  </si>
  <si>
    <t>Calculated</t>
  </si>
  <si>
    <t>Area only; footings are separate.</t>
  </si>
  <si>
    <t>Rectangular wall framing</t>
  </si>
  <si>
    <t>One face; gables listed separately.</t>
  </si>
  <si>
    <t>Raised floor joists</t>
  </si>
  <si>
    <t>Plan condition</t>
  </si>
  <si>
    <t>No raised-floor system shown.</t>
  </si>
  <si>
    <t>House + garage ceiling joists</t>
  </si>
  <si>
    <t>Gross footprint</t>
  </si>
  <si>
    <t>Porch ceiling framing 134 SF separately.</t>
  </si>
  <si>
    <t>House drywall</t>
  </si>
  <si>
    <t>Walls + ceilings; 10% purchase allowance in detail.</t>
  </si>
  <si>
    <t>Wall stucco</t>
  </si>
  <si>
    <t>Net openings and veneer allowance deducted.</t>
  </si>
  <si>
    <t>Sloped roofing</t>
  </si>
  <si>
    <t>4:12 slope; eaves included.</t>
  </si>
  <si>
    <t>House floor coverings</t>
  </si>
  <si>
    <t>Allowance</t>
  </si>
  <si>
    <t>Finish selections not specified.</t>
  </si>
  <si>
    <t>Drawn receptacle locations</t>
  </si>
  <si>
    <t>EA</t>
  </si>
  <si>
    <t>Counted</t>
  </si>
  <si>
    <t>Includes range/dryer; additional equipment points in detail.</t>
  </si>
  <si>
    <t>Recessed LED fixtures</t>
  </si>
  <si>
    <t>40 house + 4 garage.</t>
  </si>
  <si>
    <t>Switch controls</t>
  </si>
  <si>
    <t>6 dimmers + 8 three-way dimmers + 4 VS + 14 other.</t>
  </si>
  <si>
    <t>Plumbing bathrooms</t>
  </si>
  <si>
    <t>2 WC, 4 lavatories, 1 primary tub, 1 shower, 1 tub/shower.</t>
  </si>
  <si>
    <t>Heat pump water heater</t>
  </si>
  <si>
    <t>Specified</t>
  </si>
  <si>
    <t>40 gal modeled; exterior architectural location.</t>
  </si>
  <si>
    <t>Central heat pump system</t>
  </si>
  <si>
    <t>SET</t>
  </si>
  <si>
    <t>1 outdoor unit + 1 attic air handler.</t>
  </si>
  <si>
    <t>Exhaust fans</t>
  </si>
  <si>
    <t>Four fans including laundry.</t>
  </si>
  <si>
    <t>Items to confirm before final ordering</t>
  </si>
  <si>
    <t>Measurement limits</t>
  </si>
  <si>
    <t>Architectural general note says DO NOT SCALE DRAWINGS. Footing interiors, partition length, gables and roof-edge offsets use calibrated drawing traces/allowances; verify before bid commitment or order.</t>
  </si>
  <si>
    <t>Plan coordination</t>
  </si>
  <si>
    <t>A-1 scope says 4 bedrooms, while A-2 labels primary, bedroom #2 and bedroom #3. Takeoff follows drawn spaces and 5 shown smoke alarms.</t>
  </si>
  <si>
    <t>Opening schedules</t>
  </si>
  <si>
    <t>A-2 shows two D10 wardrobe openings, while A-2a lists one. Window #14 is shown but absent from A-2a. Opening deductions are allowances pending schedule correction.</t>
  </si>
  <si>
    <t>Water heater / recirculation</t>
  </si>
  <si>
    <t>T24a models 40 gal heat pump WH in living area and no recirculation. A-2 places WH in exterior enclosure and requires hot-water recirculation. Architect/energy consultant must reconcile.</t>
  </si>
  <si>
    <t>Mechanical capacity</t>
  </si>
  <si>
    <t>T24a gives 50,000 BTU/h heating, HSPF 8.8, SEER 15 and EER 12.2. Do not infer cooling tonnage from heating capacity; obtain equipment schedule and duct design.</t>
  </si>
  <si>
    <t>Purchase quantities</t>
  </si>
  <si>
    <t>Order column applies stated waste to each line. TOTAL rows already combine component net areas: do not add totals to component rows. EA counts have no waste unless explicitly stated.</t>
  </si>
  <si>
    <t>Unquantified scope</t>
  </si>
  <si>
    <t>Wire lengths/cable sizes, footing reinforcement and local pad/deepened footing volumes need detailed schedules/routes. No fabricated quantities are included.</t>
  </si>
  <si>
    <t>Other work shown</t>
  </si>
  <si>
    <t>NFPA 13D fire sprinklers and photovoltaics are deferred/separate scopes. Title 24 models 2.4 kW PV. Site concrete includes 2,150 SF driveway/patio, 545 SF path and 80 SF walk, outside requested foundation slabs.</t>
  </si>
  <si>
    <t>492 W Altadena Drive - construction takeoff</t>
  </si>
  <si>
    <t>Net quantities and purchase allowances are separate. Approximate measurements are not fabrication quantities.</t>
  </si>
  <si>
    <t>Trade</t>
  </si>
  <si>
    <t>Item / scope</t>
  </si>
  <si>
    <t>Waste / allowance</t>
  </si>
  <si>
    <t>Order quantity</t>
  </si>
  <si>
    <t>Drawing / PDF page</t>
  </si>
  <si>
    <t>Method / inclusions</t>
  </si>
  <si>
    <t>Foundation</t>
  </si>
  <si>
    <t>House exterior continuous footing</t>
  </si>
  <si>
    <t>A-2 p6; S1 p15</t>
  </si>
  <si>
    <t>Full continuous run, including openings; approximately 202 LF.</t>
  </si>
  <si>
    <t>House interior continuous footing</t>
  </si>
  <si>
    <t>S1 p15</t>
  </si>
  <si>
    <t>Four traced interior runs; verify footing intersections and local widenings.</t>
  </si>
  <si>
    <t>Porch outer footing runs</t>
  </si>
  <si>
    <t>Entry footing configuration requires field/detail confirmation.</t>
  </si>
  <si>
    <t>Garage perimeter footing / grade beam</t>
  </si>
  <si>
    <t>S1 p15; A-2 p6</t>
  </si>
  <si>
    <t>Includes garage-door grade beam.</t>
  </si>
  <si>
    <t>TOTAL continuous footings</t>
  </si>
  <si>
    <t>Counts each run once. Does not add Hardy grade-beam subset again.</t>
  </si>
  <si>
    <t>Hardy-frame grade beam (included above)</t>
  </si>
  <si>
    <t>D1/11 p17; D2/27 p18</t>
  </si>
  <si>
    <t>24 x 24 inch beam at garage opening; not an extra 20 LF.</t>
  </si>
  <si>
    <t>House slab-on-grade</t>
  </si>
  <si>
    <t>A-1 p1; S1 p15</t>
  </si>
  <si>
    <t>4 inch net slab. Gross building footprint used; footing/slab overlap not deducted.</t>
  </si>
  <si>
    <t>Garage slab-on-grade</t>
  </si>
  <si>
    <t>4 inch net slab.</t>
  </si>
  <si>
    <t>A-1 p1</t>
  </si>
  <si>
    <t>Area scheduled; 4 inch thickness allowance.</t>
  </si>
  <si>
    <t>TOTAL house + garage + porch slab</t>
  </si>
  <si>
    <t>Porch included separately above.</t>
  </si>
  <si>
    <t>House slab concrete only</t>
  </si>
  <si>
    <t>CY</t>
  </si>
  <si>
    <t>Excludes footings, curbs, pads and thickened edges.</t>
  </si>
  <si>
    <t>Garage slab concrete only</t>
  </si>
  <si>
    <t>Excludes perimeter footings/grade beam.</t>
  </si>
  <si>
    <t>Porch slab concrete only</t>
  </si>
  <si>
    <t>Confirm thickness and joint treatment.</t>
  </si>
  <si>
    <t>House + garage slab #4 reinforcing</t>
  </si>
  <si>
    <t>#4 at 18 inches each way; area method, 15% for laps/cuts. Excludes footing steel.</t>
  </si>
  <si>
    <t>House + garage slab vapor barrier</t>
  </si>
  <si>
    <t>10 mil under house and garage; lap allowance.</t>
  </si>
  <si>
    <t>House + garage 4 inch base</t>
  </si>
  <si>
    <t>House detail also shows 2 inch sand bed; confirm garage specification.</t>
  </si>
  <si>
    <t>Wall framing</t>
  </si>
  <si>
    <t>House exterior wall framing - one face</t>
  </si>
  <si>
    <t>A-2 p6; A-5 p10</t>
  </si>
  <si>
    <t>Gross framing plane; openings retained, excludes gables.</t>
  </si>
  <si>
    <t>House interior wall framing - one face</t>
  </si>
  <si>
    <t>A-2 p6</t>
  </si>
  <si>
    <t>220 LF centerline allowance x 9 ft; includes openings.</t>
  </si>
  <si>
    <t>Garage exterior wall framing - one face</t>
  </si>
  <si>
    <t>Gross wall framing; garage openings retained.</t>
  </si>
  <si>
    <t>TOTAL rectangular wall framing</t>
  </si>
  <si>
    <t>One-face measurement, not drywall two-face area.</t>
  </si>
  <si>
    <t>House gable framing additional</t>
  </si>
  <si>
    <t>A-4 p9</t>
  </si>
  <si>
    <t>Separate from rectangular wall framing.</t>
  </si>
  <si>
    <t>Garage gable framing additional</t>
  </si>
  <si>
    <t>Two triangular gables.</t>
  </si>
  <si>
    <t>Stud positions at 16 inches OC</t>
  </si>
  <si>
    <t>S2 p16; T24a p11</t>
  </si>
  <si>
    <t>For budgeting only. Extra for corners/cripples; not a cut list. 2x6 plumbing walls required.</t>
  </si>
  <si>
    <t>Bottom + double top plate</t>
  </si>
  <si>
    <t>S2 p16</t>
  </si>
  <si>
    <t>Three plate runs; no opening deductions.</t>
  </si>
  <si>
    <t>Joists</t>
  </si>
  <si>
    <t>Raised floor joist area</t>
  </si>
  <si>
    <t>Zero floor-joist scope shown: slab-on-grade.</t>
  </si>
  <si>
    <t>House ceiling joist area</t>
  </si>
  <si>
    <t>Scheduled footprint</t>
  </si>
  <si>
    <t>2x10 ceiling joists at 16 inches OC shown. Area is gross projected framing.</t>
  </si>
  <si>
    <t>Garage ceiling joist area</t>
  </si>
  <si>
    <t>2x10 ceiling joists at 16 inches OC shown.</t>
  </si>
  <si>
    <t>Porch ceiling framing area</t>
  </si>
  <si>
    <t>Porch roof shows 2x6 rafters; ceiling framing area only, not a 2x10 material order.</t>
  </si>
  <si>
    <t>TOTAL house + garage ceiling joist area</t>
  </si>
  <si>
    <t>Porch separate.</t>
  </si>
  <si>
    <t>2x10 ceiling joist length allowance</t>
  </si>
  <si>
    <t>Area/spacing method; excludes end/edge members, blocks and overlaps. No stock-length breakdown.</t>
  </si>
  <si>
    <t>Drywall</t>
  </si>
  <si>
    <t>House wall drywall, net allowance</t>
  </si>
  <si>
    <t>A-2 p6; A-2a p7</t>
  </si>
  <si>
    <t>Exterior walls one interior face, partitions two faces; wet backer separate.</t>
  </si>
  <si>
    <t>House ceiling drywall</t>
  </si>
  <si>
    <t>Gross allowance</t>
  </si>
  <si>
    <t>1/2 inch minimum; gross area includes partition footprints.</t>
  </si>
  <si>
    <t>TOTAL house drywall</t>
  </si>
  <si>
    <t>Does not include garage, porch or wet-area backer.</t>
  </si>
  <si>
    <t>House drywall 4 x 12 sheet equivalent</t>
  </si>
  <si>
    <t>Order area includes 10% waste. Thickness/rated splits require confirmation.</t>
  </si>
  <si>
    <t>Wet-area wall tile backer</t>
  </si>
  <si>
    <t>A-2 p6 note 4a</t>
  </si>
  <si>
    <t>Separate from gypsum-board total.</t>
  </si>
  <si>
    <t>Garage required rated wall drywall</t>
  </si>
  <si>
    <t>A-5 p10 1HRA/1HRB</t>
  </si>
  <si>
    <t>5/8 inch Type X interior face of two rated wall runs.</t>
  </si>
  <si>
    <t>Garage remaining walls, optional finish</t>
  </si>
  <si>
    <t>Optional allowance</t>
  </si>
  <si>
    <t>Confirm finish requirement; not part of house drywall.</t>
  </si>
  <si>
    <t>Garage ceiling, optional finish</t>
  </si>
  <si>
    <t>A-5 p10</t>
  </si>
  <si>
    <t>No blanket garage ceiling finish specification verified.</t>
  </si>
  <si>
    <t>Porch / eave Type X substrate</t>
  </si>
  <si>
    <t>A-4 p9 note 6</t>
  </si>
  <si>
    <t>Type X beneath cement-fiberboard at house eaves/porch; verify rated garage soffit separately.</t>
  </si>
  <si>
    <t>Stucco</t>
  </si>
  <si>
    <t>House stucco wall area, net</t>
  </si>
  <si>
    <t>7/8 inch stucco; excludes openings and veneer allowance.</t>
  </si>
  <si>
    <t>Garage stucco wall area, net</t>
  </si>
  <si>
    <t>A-4 p9; A-5 p10</t>
  </si>
  <si>
    <t>Includes two gables; excludes openings.</t>
  </si>
  <si>
    <t>TOTAL wall stucco</t>
  </si>
  <si>
    <t>Does not include fascia/soffit stucco required at rated garage eave.</t>
  </si>
  <si>
    <t>Stone veneer separate</t>
  </si>
  <si>
    <t>Cultured Stone or equal; verify actual heights and returns.</t>
  </si>
  <si>
    <t>Weep screed</t>
  </si>
  <si>
    <t>Gross perimeter; deduct door widths on final order.</t>
  </si>
  <si>
    <t>Two-layer wall WRB coverage</t>
  </si>
  <si>
    <t>Layer-SF; two layers Grade D over plywood; veneer WRB separate.</t>
  </si>
  <si>
    <t>Roofing</t>
  </si>
  <si>
    <t>House + porch roof horizontal projection</t>
  </si>
  <si>
    <t>A-1 p1; A-4 p9</t>
  </si>
  <si>
    <t>18 inch eave offset allowance; check overhang variation at recess.</t>
  </si>
  <si>
    <t>Garage roof horizontal projection</t>
  </si>
  <si>
    <t>4 inch sides; 18 inch gable ends assumed.</t>
  </si>
  <si>
    <t>House + porch sloped roof</t>
  </si>
  <si>
    <t>4:12 slope; purchase allowance 10%.</t>
  </si>
  <si>
    <t>Garage sloped roof</t>
  </si>
  <si>
    <t>4:12 slope.</t>
  </si>
  <si>
    <t>TOTAL sloped roof covering</t>
  </si>
  <si>
    <t>Class A Mularkey composite roofing.</t>
  </si>
  <si>
    <t>Roofing squares including waste</t>
  </si>
  <si>
    <t>SQ</t>
  </si>
  <si>
    <t>1 roofing square = 100 SF.</t>
  </si>
  <si>
    <t>Roof sheathing coverage</t>
  </si>
  <si>
    <t>Confirm sheathing thickness from structural notes before order.</t>
  </si>
  <si>
    <t>Two-layer 15 lb felt coverage</t>
  </si>
  <si>
    <t>Layer-SF; equivalent to twice net sloped area.</t>
  </si>
  <si>
    <t>House wildfire roof vents</t>
  </si>
  <si>
    <t>Plan note</t>
  </si>
  <si>
    <t>A-4 p9 note 4</t>
  </si>
  <si>
    <t>7 upper + 7 lower O'Hagin, 72 sq in NFA each; 1008 total. Note contains erroneous 144 subtotals.</t>
  </si>
  <si>
    <t>Floor coverings</t>
  </si>
  <si>
    <t>Dry-room flooring, material TBD</t>
  </si>
  <si>
    <t>Do not treat as specified LVP/wood/carpet. Confirm selections and room boundaries.</t>
  </si>
  <si>
    <t>Bath / laundry flooring, material TBD</t>
  </si>
  <si>
    <t>Includes floor area under fixtures as budgeting allowance.</t>
  </si>
  <si>
    <t>TOTAL net house finish allowance</t>
  </si>
  <si>
    <t>Gross 2006 SF less 151 SF combined wall/other allowance.</t>
  </si>
  <si>
    <t>Garage exposed slab / optional coating</t>
  </si>
  <si>
    <t>No floor covering specified.</t>
  </si>
  <si>
    <t>Porch exposed slab / optional finish</t>
  </si>
  <si>
    <t>Electrical</t>
  </si>
  <si>
    <t>AFCI-labeled receptacle locations</t>
  </si>
  <si>
    <t>Counted labels</t>
  </si>
  <si>
    <t>A-3 p8</t>
  </si>
  <si>
    <t>Protection designation, not AFCI device specification; includes 2 laundry locations also labeled GFI.</t>
  </si>
  <si>
    <t>GFI-labeled receptacles - kitchen</t>
  </si>
  <si>
    <t>Includes range 240 V location; appliance/counter/island locations included.</t>
  </si>
  <si>
    <t>GFI receptacles - bathrooms</t>
  </si>
  <si>
    <t>Two in each bathroom.</t>
  </si>
  <si>
    <t>GFI-labeled laundry locations</t>
  </si>
  <si>
    <t>Washer + electric dryer; overlaps AFCI-labeled count above.</t>
  </si>
  <si>
    <t>Garage interior GFI receptacles</t>
  </si>
  <si>
    <t>Separate from garage exterior WP GFI.</t>
  </si>
  <si>
    <t>Exterior WP GFI receptacles</t>
  </si>
  <si>
    <t>3 house + 1 garage.</t>
  </si>
  <si>
    <t>Unique drawn receptacle locations</t>
  </si>
  <si>
    <t>Counted / reconciled</t>
  </si>
  <si>
    <t>41 AFCI + 24 GFI - 2 dual-labeled laundry locations. Includes range/dryer; equipment connections additional.</t>
  </si>
  <si>
    <t>House recessed LED fixtures</t>
  </si>
  <si>
    <t>Primary 5; closet 2; beds 4+4; hall 2; kitchen 6; dining 2; family 3; living 4; primary bath 4; laundry 2; hall bath 2.</t>
  </si>
  <si>
    <t>Garage recessed LED fixtures</t>
  </si>
  <si>
    <t>Four fixture symbols.</t>
  </si>
  <si>
    <t>Kitchen pendant / luminaire</t>
  </si>
  <si>
    <t>Island fixture.</t>
  </si>
  <si>
    <t>Primary bedroom light / fan combo</t>
  </si>
  <si>
    <t>Separate from recessed lights.</t>
  </si>
  <si>
    <t>Exterior motion / photo fixtures</t>
  </si>
  <si>
    <t>Kitchen under-cabinet LED sections</t>
  </si>
  <si>
    <t>Length not dimensioned; field-measure cabinets.</t>
  </si>
  <si>
    <t>Single-pole dimmer switches</t>
  </si>
  <si>
    <t>D-labeled controls, excluding legend.</t>
  </si>
  <si>
    <t>Three-way dimmer controls</t>
  </si>
  <si>
    <t>8 D,3 controls = 4 pairs.</t>
  </si>
  <si>
    <t>Vacancy sensor switches</t>
  </si>
  <si>
    <t>Bathroom/laundry/garage controls.</t>
  </si>
  <si>
    <t>Other switches</t>
  </si>
  <si>
    <t>32 switch symbols less 6 dimmers, 8 three-way dimmers and 4 VS.</t>
  </si>
  <si>
    <t>Smoke alarms</t>
  </si>
  <si>
    <t>Hardwired, battery backup and interconnected.</t>
  </si>
  <si>
    <t>Carbon monoxide alarms</t>
  </si>
  <si>
    <t>Shown on drawing; may be combination units if approved.</t>
  </si>
  <si>
    <t>Main electrical service panel</t>
  </si>
  <si>
    <t>A-2/A-3 p6/p8</t>
  </si>
  <si>
    <t>200 A main breaker, 225 A minimum bus.</t>
  </si>
  <si>
    <t>Energy storage ready subpanel</t>
  </si>
  <si>
    <t>Minimum 60 A subpanel, breaker and feeder; future transfer space.</t>
  </si>
  <si>
    <t>Additional heat pump equipment connections</t>
  </si>
  <si>
    <t>Outdoor heat pump, attic air handler and heat pump water heater. Electrical design determines circuits.</t>
  </si>
  <si>
    <t>Attic service light + receptacle set</t>
  </si>
  <si>
    <t>Plan requirement</t>
  </si>
  <si>
    <t>A-2 p6 AH notes</t>
  </si>
  <si>
    <t>Additional to drawn room devices.</t>
  </si>
  <si>
    <t>Branch cable / Romex</t>
  </si>
  <si>
    <t>Not determined</t>
  </si>
  <si>
    <t>Circuit home runs, panel schedule and cable sizes not shown; cannot measure reliable wire length.</t>
  </si>
  <si>
    <t>Plumbing</t>
  </si>
  <si>
    <t>Water closets</t>
  </si>
  <si>
    <t>Primary + hall bath.</t>
  </si>
  <si>
    <t>Lavatory basins + faucets</t>
  </si>
  <si>
    <t>Two basins per bathroom.</t>
  </si>
  <si>
    <t>Kitchen sink + faucet</t>
  </si>
  <si>
    <t>One double-bowl sink fixture.</t>
  </si>
  <si>
    <t>Primary freestanding bathtub</t>
  </si>
  <si>
    <t>Separate from primary shower.</t>
  </si>
  <si>
    <t>Primary shower assembly</t>
  </si>
  <si>
    <t>Shower valve, head and drain.</t>
  </si>
  <si>
    <t>Hall tub / shower assembly</t>
  </si>
  <si>
    <t>Tub with shower valve/head/drain.</t>
  </si>
  <si>
    <t>Dishwasher rough-in</t>
  </si>
  <si>
    <t>Hot water + drain connection.</t>
  </si>
  <si>
    <t>Clothes washer rough-in</t>
  </si>
  <si>
    <t>Hot/cold box + standpipe/trap.</t>
  </si>
  <si>
    <t>A-2 p6; T24a p11</t>
  </si>
  <si>
    <t>40 gal modeled in T24; architectural plan locates unit exterior, T24 tank location says living area. Resolve.</t>
  </si>
  <si>
    <t>Hose bibbs</t>
  </si>
  <si>
    <t>A-3 p8 legend only</t>
  </si>
  <si>
    <t>No verified hose-bibb locations; allow two pending plumbing layout.</t>
  </si>
  <si>
    <t>Cold water piping</t>
  </si>
  <si>
    <t>Routing allowance</t>
  </si>
  <si>
    <t>No piping layout; budget allowance, excludes off-site service.</t>
  </si>
  <si>
    <t>Hot water piping</t>
  </si>
  <si>
    <t>No piping layout; excludes recirculation return.</t>
  </si>
  <si>
    <t>Hot water return piping</t>
  </si>
  <si>
    <t>A-2 p6 plumbing note b</t>
  </si>
  <si>
    <t>Recirculation required by architectural note; T24 models no recirculation. Resolve.</t>
  </si>
  <si>
    <t>DWV piping, mixed sizes</t>
  </si>
  <si>
    <t>No riser/isometrics; includes building drains/vents, excludes off-site sewer.</t>
  </si>
  <si>
    <t>Graywater-ready dual waste system</t>
  </si>
  <si>
    <t>LS</t>
  </si>
  <si>
    <t>Plan note / verify</t>
  </si>
  <si>
    <t>A-2 p6 plumbing note a</t>
  </si>
  <si>
    <t>Requirement subject to listed exceptions; pipe quantities not separately established.</t>
  </si>
  <si>
    <t>Hot water recirculation system</t>
  </si>
  <si>
    <t>Architectural note requires system; reconcile energy-model discrepancy.</t>
  </si>
  <si>
    <t>Water heater pan / straps / drain set</t>
  </si>
  <si>
    <t>A-2 p6 note 7</t>
  </si>
  <si>
    <t>With 4 inch pad and ventilated enclosure.</t>
  </si>
  <si>
    <t>Mechanical</t>
  </si>
  <si>
    <t>Central split heat pump outdoor unit</t>
  </si>
  <si>
    <t>T24 heating capacity 50,000 BTU/h; HSPF 8.8, SEER 15, EER 12.2. Cooling capacity not stated.</t>
  </si>
  <si>
    <t>Attic air handler</t>
  </si>
  <si>
    <t>With platform, access/passageway and condensate overflow protection.</t>
  </si>
  <si>
    <t>Bathroom / laundry exhaust fans</t>
  </si>
  <si>
    <t>A-3 p8; A-2 p6</t>
  </si>
  <si>
    <t>Primary main bath + primary WC + hall bath + laundry. Bath fans minimum 50 CFM.</t>
  </si>
  <si>
    <t>Range hood</t>
  </si>
  <si>
    <t>A-2 p6 note 5</t>
  </si>
  <si>
    <t>180 CFM, backdraft damper, exterior duct termination.</t>
  </si>
  <si>
    <t>Dryer exhaust</t>
  </si>
  <si>
    <t>A-2 p6 note 6</t>
  </si>
  <si>
    <t>4 inch duct; architectural note limits 14 ft with two elbows.</t>
  </si>
  <si>
    <t>Insulated R-8 supply duct</t>
  </si>
  <si>
    <t>T24a p11</t>
  </si>
  <si>
    <t>No duct plan; mixed diameters, budget allowance only.</t>
  </si>
  <si>
    <t>Insulated R-8 return duct</t>
  </si>
  <si>
    <t>One return grille shown A-2; size not scheduled.</t>
  </si>
  <si>
    <t>Supply registers</t>
  </si>
  <si>
    <t>Room-distribution allowance; not drawn counts.</t>
  </si>
  <si>
    <t>Return grille</t>
  </si>
  <si>
    <t>Grille shown near attic access.</t>
  </si>
  <si>
    <t>Exhaust duct for four fans</t>
  </si>
  <si>
    <t>Assume 15 LF per fan; actual routes not drawn.</t>
  </si>
  <si>
    <t>Range hood duct</t>
  </si>
  <si>
    <t>Route and diameter require equipment selection.</t>
  </si>
  <si>
    <t>Dryer duct</t>
  </si>
  <si>
    <t>Maximum allowance</t>
  </si>
  <si>
    <t>Maximum stated with two elbows; do not add waste to installed length.</t>
  </si>
  <si>
    <t>Refrigerant line set</t>
  </si>
  <si>
    <t>Outdoor equipment location/route not fixed.</t>
  </si>
  <si>
    <t>Condensate drain piping</t>
  </si>
  <si>
    <t>Primary/overflow layout to be confirmed.</t>
  </si>
  <si>
    <t>492 W Altadena Drive - measurement basis</t>
  </si>
  <si>
    <t>Source: Approved permitted 492 W ALTADENA PLANS V2_v1-3.pdf (20 pages; approval 02/02/2026).</t>
  </si>
  <si>
    <t>Measurement / assumption</t>
  </si>
  <si>
    <t>Value</t>
  </si>
  <si>
    <t>Method / scope</t>
  </si>
  <si>
    <t>House gross floor area</t>
  </si>
  <si>
    <t>A-1 p1; A-2 p6</t>
  </si>
  <si>
    <t>Building area to exterior walls; not net floor finish.</t>
  </si>
  <si>
    <t>Garage gross floor area</t>
  </si>
  <si>
    <t>20 x 21 ft detached garage.</t>
  </si>
  <si>
    <t>Front porch area</t>
  </si>
  <si>
    <t>Porch slab thickness is an allowance.</t>
  </si>
  <si>
    <t>House overall length</t>
  </si>
  <si>
    <t>FT</t>
  </si>
  <si>
    <t>Dimension</t>
  </si>
  <si>
    <t>Overall including front projection.</t>
  </si>
  <si>
    <t>House overall width</t>
  </si>
  <si>
    <t>Stepped outline has same perimeter as bounding rectangle.</t>
  </si>
  <si>
    <t>House wall height</t>
  </si>
  <si>
    <t>Flat ceilings at 9 ft.</t>
  </si>
  <si>
    <t>House perimeter</t>
  </si>
  <si>
    <t>2 x (68 + 32 ft 10 in); excludes porch posts/enclosure.</t>
  </si>
  <si>
    <t>Garage length</t>
  </si>
  <si>
    <t>Exterior dimension.</t>
  </si>
  <si>
    <t>Garage width</t>
  </si>
  <si>
    <t>Garage wall height</t>
  </si>
  <si>
    <t>Wall height excluding gables.</t>
  </si>
  <si>
    <t>Garage perimeter</t>
  </si>
  <si>
    <t>Includes garage-door threshold grade beam.</t>
  </si>
  <si>
    <t>Interior partition length</t>
  </si>
  <si>
    <t>Rounded trace including door openings; allow +/- 10%; excludes exterior walls.</t>
  </si>
  <si>
    <t>House slab thickness</t>
  </si>
  <si>
    <t>IN</t>
  </si>
  <si>
    <t>4 inch net slab; #4 at 18 inches each way.</t>
  </si>
  <si>
    <t>Garage slab thickness</t>
  </si>
  <si>
    <t>Porch slab thickness</t>
  </si>
  <si>
    <t>Confirm porch slab section; not a scheduled thickness.</t>
  </si>
  <si>
    <t>Interior footing: bath cross wall</t>
  </si>
  <si>
    <t>Full run across primary-bath upper wall including openings.</t>
  </si>
  <si>
    <t>Interior footing: bath return</t>
  </si>
  <si>
    <t>Return below bath cross wall, above exterior recess.</t>
  </si>
  <si>
    <t>Interior footing: central cross wall</t>
  </si>
  <si>
    <t>Cross-building thickened run including door openings.</t>
  </si>
  <si>
    <t>Interior footing: central longitudinal</t>
  </si>
  <si>
    <t>Main continuous north-south interior run.</t>
  </si>
  <si>
    <t>Porch footing outer runs</t>
  </si>
  <si>
    <t>Two 9 ft returns plus 13.5 ft front run; verify continuity at entry.</t>
  </si>
  <si>
    <t>Garage special grade beam</t>
  </si>
  <si>
    <t>S1 p15; D1/11 p17; D2/27 p18</t>
  </si>
  <si>
    <t>Subset of garage perimeter, not additional length; 24 x 24 in Hardy-frame beam.</t>
  </si>
  <si>
    <t>House gable wall allowance</t>
  </si>
  <si>
    <t>Two principal end triangles at 4:12; verify stepped roof/gable intersections.</t>
  </si>
  <si>
    <t>House exterior opening area</t>
  </si>
  <si>
    <t>Combined allowance for windows/exterior doors; arches approximated. Window #14 is shown but absent from A-2a.</t>
  </si>
  <si>
    <t>Garage exterior opening area</t>
  </si>
  <si>
    <t>A-2 p6; A-4 p9</t>
  </si>
  <si>
    <t>16 x 7 garage door plus 3 x 7 personnel door assumed.</t>
  </si>
  <si>
    <t>Stone veneer area</t>
  </si>
  <si>
    <t>Front wainscot/porch and rear small returns; deduct from stucco.</t>
  </si>
  <si>
    <t>Interior door opening deduction</t>
  </si>
  <si>
    <t>Both partition faces; includes two wardrobe openings shown in A-2.</t>
  </si>
  <si>
    <t>Wet-area wall backer</t>
  </si>
  <si>
    <t>Primary shower + tub/shower walls; separate from drywall.</t>
  </si>
  <si>
    <t>Garage rated drywall wall runs</t>
  </si>
  <si>
    <t>Two garage walls at property-line exposures; confirm full extent.</t>
  </si>
  <si>
    <t>House eave projection</t>
  </si>
  <si>
    <t>18 inch overhang assumed along principal house/porch outline.</t>
  </si>
  <si>
    <t>Garage side eave projection</t>
  </si>
  <si>
    <t>4 inch maximum on property-line side elevations.</t>
  </si>
  <si>
    <t>Garage gable projection</t>
  </si>
  <si>
    <t>18 inch front/back projection from elevation; confirm roof edge.</t>
  </si>
  <si>
    <t>Roof pitch rise per 12</t>
  </si>
  <si>
    <t>4:12 composite Class A roofing.</t>
  </si>
  <si>
    <t>Roof slope factor</t>
  </si>
  <si>
    <t>FACTOR</t>
  </si>
  <si>
    <t>Square root of 1 + (4/12)^2.</t>
  </si>
  <si>
    <t>Floor finish area: dry rooms</t>
  </si>
  <si>
    <t>Net allowance for bedrooms, closets, living, dining, kitchen and hall. Material not specified.</t>
  </si>
  <si>
    <t>Floor finish area: baths/laundry</t>
  </si>
  <si>
    <t>Approx primary bath 165, hall bath 75, laundry 35 SF. Material not specified.</t>
  </si>
  <si>
    <t>House floor joists</t>
  </si>
  <si>
    <t>Slab-on-grade; no raised floor framing shown.</t>
  </si>
  <si>
    <t>House Type X drywall allowance</t>
  </si>
  <si>
    <t>Needs confirmation</t>
  </si>
  <si>
    <t>Do not assume zero scope: verify any rated house wall requirements near property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</si>
</sst>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name val="Carlito"/>
    </font>
    <font>
      <sz val="10"/>
      <name val="Arial"/>
    </font>
    <font>
      <b/>
      <sz val="15"/>
      <name val="Arial"/>
    </font>
    <font>
      <i/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245F9A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A4D"/>
      </patternFill>
    </fill>
    <fill>
      <patternFill patternType="solid">
        <fgColor rgb="FFFFF0CA"/>
      </patternFill>
    </fill>
    <fill>
      <patternFill patternType="solid">
        <fgColor rgb="FFDFEAF0"/>
      </patternFill>
    </fill>
  </fills>
  <borders count="2">
    <border>
      <left/>
      <right/>
      <top/>
      <bottom/>
      <diagonal/>
    </border>
    <border>
      <left/>
      <right/>
      <top style="medium">
        <color rgb="FF8FA5AF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164" fontId="5" fillId="4" borderId="0" xfId="0" applyNumberFormat="1" applyFont="1" applyFill="1" applyAlignment="1">
      <alignment vertical="center" wrapText="1"/>
    </xf>
    <xf numFmtId="9" fontId="5" fillId="4" borderId="0" xfId="0" applyNumberFormat="1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4" fontId="6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showGridLines="0" tabSelected="1" workbookViewId="0">
      <pane ySplit="4" topLeftCell="A5" activePane="bottomLeft" state="frozen"/>
      <selection pane="bottomLeft"/>
    </sheetView>
  </sheetViews>
  <sheetFormatPr defaultRowHeight="14.25"/>
  <cols>
    <col min="1" max="1" width="44" customWidth="1"/>
    <col min="2" max="2" width="17" customWidth="1"/>
    <col min="3" max="3" width="10" customWidth="1"/>
    <col min="4" max="4" width="24" customWidth="1"/>
    <col min="5" max="5" width="100" customWidth="1"/>
  </cols>
  <sheetData>
    <row r="1" spans="1:5" ht="27.95" customHeight="1">
      <c r="A1" s="2" t="s">
        <v>0</v>
      </c>
      <c r="B1" s="1"/>
      <c r="C1" s="1"/>
      <c r="D1" s="1"/>
      <c r="E1" s="1"/>
    </row>
    <row r="2" spans="1:5" ht="26.1" customHeight="1">
      <c r="A2" s="3" t="s">
        <v>1</v>
      </c>
      <c r="B2" s="1"/>
      <c r="C2" s="1"/>
      <c r="D2" s="1"/>
      <c r="E2" s="1"/>
    </row>
    <row r="3" spans="1:5" ht="42" customHeight="1">
      <c r="A3" s="1"/>
      <c r="B3" s="1"/>
      <c r="C3" s="1"/>
      <c r="D3" s="1"/>
      <c r="E3" s="1"/>
    </row>
    <row r="4" spans="1:5" ht="42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ht="42" customHeight="1">
      <c r="A5" s="5" t="s">
        <v>7</v>
      </c>
      <c r="B5" s="6">
        <f>'Trade quantities'!D9</f>
        <v>418.16666666666669</v>
      </c>
      <c r="C5" s="5" t="s">
        <v>8</v>
      </c>
      <c r="D5" s="5" t="s">
        <v>9</v>
      </c>
      <c r="E5" s="5" t="s">
        <v>10</v>
      </c>
    </row>
    <row r="6" spans="1:5" ht="42" customHeight="1">
      <c r="A6" s="5" t="s">
        <v>11</v>
      </c>
      <c r="B6" s="6">
        <f>Measurements!B5+Measurements!B6</f>
        <v>2426</v>
      </c>
      <c r="C6" s="5" t="s">
        <v>12</v>
      </c>
      <c r="D6" s="5" t="s">
        <v>13</v>
      </c>
      <c r="E6" s="5" t="s">
        <v>14</v>
      </c>
    </row>
    <row r="7" spans="1:5" ht="42" customHeight="1">
      <c r="A7" s="5" t="s">
        <v>15</v>
      </c>
      <c r="B7" s="6">
        <f>'Trade quantities'!D13</f>
        <v>134</v>
      </c>
      <c r="C7" s="5" t="s">
        <v>12</v>
      </c>
      <c r="D7" s="5" t="s">
        <v>13</v>
      </c>
      <c r="E7" s="5" t="s">
        <v>16</v>
      </c>
    </row>
    <row r="8" spans="1:5" ht="42" customHeight="1">
      <c r="A8" s="5" t="s">
        <v>17</v>
      </c>
      <c r="B8" s="6">
        <f>'Trade quantities'!D14</f>
        <v>2560</v>
      </c>
      <c r="C8" s="5" t="s">
        <v>12</v>
      </c>
      <c r="D8" s="5" t="s">
        <v>18</v>
      </c>
      <c r="E8" s="5" t="s">
        <v>19</v>
      </c>
    </row>
    <row r="9" spans="1:5" ht="42" customHeight="1">
      <c r="A9" s="5" t="s">
        <v>20</v>
      </c>
      <c r="B9" s="6">
        <f>'Trade quantities'!D24</f>
        <v>4451</v>
      </c>
      <c r="C9" s="5" t="s">
        <v>12</v>
      </c>
      <c r="D9" s="5" t="s">
        <v>9</v>
      </c>
      <c r="E9" s="5" t="s">
        <v>21</v>
      </c>
    </row>
    <row r="10" spans="1:5" ht="42" customHeight="1">
      <c r="A10" s="5" t="s">
        <v>22</v>
      </c>
      <c r="B10" s="6">
        <v>0</v>
      </c>
      <c r="C10" s="5" t="s">
        <v>12</v>
      </c>
      <c r="D10" s="5" t="s">
        <v>23</v>
      </c>
      <c r="E10" s="5" t="s">
        <v>24</v>
      </c>
    </row>
    <row r="11" spans="1:5" ht="42" customHeight="1">
      <c r="A11" s="5" t="s">
        <v>25</v>
      </c>
      <c r="B11" s="6">
        <f>'Trade quantities'!D33</f>
        <v>2426</v>
      </c>
      <c r="C11" s="5" t="s">
        <v>12</v>
      </c>
      <c r="D11" s="5" t="s">
        <v>26</v>
      </c>
      <c r="E11" s="5" t="s">
        <v>27</v>
      </c>
    </row>
    <row r="12" spans="1:5" ht="42" customHeight="1">
      <c r="A12" s="5" t="s">
        <v>28</v>
      </c>
      <c r="B12" s="6">
        <f>'Trade quantities'!D37</f>
        <v>6816</v>
      </c>
      <c r="C12" s="5" t="s">
        <v>12</v>
      </c>
      <c r="D12" s="5" t="s">
        <v>9</v>
      </c>
      <c r="E12" s="5" t="s">
        <v>29</v>
      </c>
    </row>
    <row r="13" spans="1:5" ht="42" customHeight="1">
      <c r="A13" s="5" t="s">
        <v>30</v>
      </c>
      <c r="B13" s="6">
        <f>'Trade quantities'!D46</f>
        <v>2129.666666666667</v>
      </c>
      <c r="C13" s="5" t="s">
        <v>12</v>
      </c>
      <c r="D13" s="5" t="s">
        <v>9</v>
      </c>
      <c r="E13" s="5" t="s">
        <v>31</v>
      </c>
    </row>
    <row r="14" spans="1:5" ht="42" customHeight="1">
      <c r="A14" s="5" t="s">
        <v>32</v>
      </c>
      <c r="B14" s="6">
        <f>'Trade quantities'!D54</f>
        <v>3106.9378011154331</v>
      </c>
      <c r="C14" s="5" t="s">
        <v>12</v>
      </c>
      <c r="D14" s="5" t="s">
        <v>9</v>
      </c>
      <c r="E14" s="5" t="s">
        <v>33</v>
      </c>
    </row>
    <row r="15" spans="1:5" ht="42" customHeight="1">
      <c r="A15" s="5" t="s">
        <v>34</v>
      </c>
      <c r="B15" s="6">
        <f>'Trade quantities'!D61</f>
        <v>1855</v>
      </c>
      <c r="C15" s="5" t="s">
        <v>12</v>
      </c>
      <c r="D15" s="5" t="s">
        <v>35</v>
      </c>
      <c r="E15" s="5" t="s">
        <v>36</v>
      </c>
    </row>
    <row r="16" spans="1:5" ht="42" customHeight="1">
      <c r="A16" s="5" t="s">
        <v>37</v>
      </c>
      <c r="B16" s="8">
        <f>'Trade quantities'!D70</f>
        <v>63</v>
      </c>
      <c r="C16" s="5" t="s">
        <v>38</v>
      </c>
      <c r="D16" s="5" t="s">
        <v>39</v>
      </c>
      <c r="E16" s="5" t="s">
        <v>40</v>
      </c>
    </row>
    <row r="17" spans="1:5" ht="42" customHeight="1">
      <c r="A17" s="5" t="s">
        <v>41</v>
      </c>
      <c r="B17" s="8">
        <v>44</v>
      </c>
      <c r="C17" s="5" t="s">
        <v>38</v>
      </c>
      <c r="D17" s="5" t="s">
        <v>39</v>
      </c>
      <c r="E17" s="5" t="s">
        <v>42</v>
      </c>
    </row>
    <row r="18" spans="1:5" ht="42" customHeight="1">
      <c r="A18" s="5" t="s">
        <v>43</v>
      </c>
      <c r="B18" s="8">
        <v>32</v>
      </c>
      <c r="C18" s="5" t="s">
        <v>38</v>
      </c>
      <c r="D18" s="5" t="s">
        <v>39</v>
      </c>
      <c r="E18" s="5" t="s">
        <v>44</v>
      </c>
    </row>
    <row r="19" spans="1:5" ht="42" customHeight="1">
      <c r="A19" s="5" t="s">
        <v>45</v>
      </c>
      <c r="B19" s="8">
        <v>2</v>
      </c>
      <c r="C19" s="5" t="s">
        <v>38</v>
      </c>
      <c r="D19" s="5" t="s">
        <v>39</v>
      </c>
      <c r="E19" s="5" t="s">
        <v>46</v>
      </c>
    </row>
    <row r="20" spans="1:5" ht="42" customHeight="1">
      <c r="A20" s="5" t="s">
        <v>47</v>
      </c>
      <c r="B20" s="8">
        <v>1</v>
      </c>
      <c r="C20" s="5" t="s">
        <v>38</v>
      </c>
      <c r="D20" s="5" t="s">
        <v>48</v>
      </c>
      <c r="E20" s="5" t="s">
        <v>49</v>
      </c>
    </row>
    <row r="21" spans="1:5" ht="42" customHeight="1">
      <c r="A21" s="5" t="s">
        <v>50</v>
      </c>
      <c r="B21" s="8">
        <v>1</v>
      </c>
      <c r="C21" s="5" t="s">
        <v>51</v>
      </c>
      <c r="D21" s="5" t="s">
        <v>48</v>
      </c>
      <c r="E21" s="5" t="s">
        <v>52</v>
      </c>
    </row>
    <row r="22" spans="1:5" ht="42" customHeight="1">
      <c r="A22" s="5" t="s">
        <v>53</v>
      </c>
      <c r="B22" s="8">
        <v>4</v>
      </c>
      <c r="C22" s="5" t="s">
        <v>38</v>
      </c>
      <c r="D22" s="5" t="s">
        <v>39</v>
      </c>
      <c r="E22" s="5" t="s">
        <v>54</v>
      </c>
    </row>
    <row r="23" spans="1:5" ht="42" customHeight="1">
      <c r="A23" s="5"/>
      <c r="B23" s="5"/>
      <c r="C23" s="5"/>
      <c r="D23" s="5"/>
      <c r="E23" s="5"/>
    </row>
    <row r="24" spans="1:5" ht="42" customHeight="1">
      <c r="A24" s="5"/>
      <c r="B24" s="5"/>
      <c r="C24" s="5"/>
      <c r="D24" s="5"/>
      <c r="E24" s="5"/>
    </row>
    <row r="25" spans="1:5" ht="42" customHeight="1">
      <c r="A25" s="14" t="s">
        <v>55</v>
      </c>
      <c r="B25" s="13"/>
      <c r="C25" s="13"/>
      <c r="D25" s="13"/>
      <c r="E25" s="13"/>
    </row>
    <row r="26" spans="1:5" ht="42" customHeight="1">
      <c r="A26" s="5"/>
      <c r="B26" s="5"/>
      <c r="C26" s="5"/>
      <c r="D26" s="5"/>
      <c r="E26" s="5"/>
    </row>
    <row r="27" spans="1:5" ht="65.099999999999994" customHeight="1">
      <c r="A27" s="5" t="s">
        <v>56</v>
      </c>
      <c r="B27" s="5"/>
      <c r="C27" s="5"/>
      <c r="D27" s="5"/>
      <c r="E27" s="5" t="s">
        <v>57</v>
      </c>
    </row>
    <row r="28" spans="1:5" ht="65.099999999999994" customHeight="1">
      <c r="A28" s="5" t="s">
        <v>58</v>
      </c>
      <c r="B28" s="5"/>
      <c r="C28" s="5"/>
      <c r="D28" s="5"/>
      <c r="E28" s="5" t="s">
        <v>59</v>
      </c>
    </row>
    <row r="29" spans="1:5" ht="65.099999999999994" customHeight="1">
      <c r="A29" s="5" t="s">
        <v>60</v>
      </c>
      <c r="B29" s="5"/>
      <c r="C29" s="5"/>
      <c r="D29" s="5"/>
      <c r="E29" s="5" t="s">
        <v>61</v>
      </c>
    </row>
    <row r="30" spans="1:5" ht="65.099999999999994" customHeight="1">
      <c r="A30" s="5" t="s">
        <v>62</v>
      </c>
      <c r="B30" s="5"/>
      <c r="C30" s="5"/>
      <c r="D30" s="5"/>
      <c r="E30" s="5" t="s">
        <v>63</v>
      </c>
    </row>
    <row r="31" spans="1:5" ht="65.099999999999994" customHeight="1">
      <c r="A31" s="5" t="s">
        <v>64</v>
      </c>
      <c r="B31" s="5"/>
      <c r="C31" s="5"/>
      <c r="D31" s="5"/>
      <c r="E31" s="5" t="s">
        <v>65</v>
      </c>
    </row>
    <row r="32" spans="1:5" ht="65.099999999999994" customHeight="1">
      <c r="A32" s="5" t="s">
        <v>66</v>
      </c>
      <c r="B32" s="5"/>
      <c r="C32" s="5"/>
      <c r="D32" s="5"/>
      <c r="E32" s="5" t="s">
        <v>67</v>
      </c>
    </row>
    <row r="33" spans="1:5" ht="65.099999999999994" customHeight="1">
      <c r="A33" s="5" t="s">
        <v>68</v>
      </c>
      <c r="B33" s="5"/>
      <c r="C33" s="5"/>
      <c r="D33" s="5"/>
      <c r="E33" s="5" t="s">
        <v>69</v>
      </c>
    </row>
    <row r="34" spans="1:5" ht="65.099999999999994" customHeight="1">
      <c r="A34" s="5" t="s">
        <v>70</v>
      </c>
      <c r="B34" s="5"/>
      <c r="C34" s="5"/>
      <c r="D34" s="5"/>
      <c r="E34" s="5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17" customWidth="1"/>
    <col min="2" max="2" width="46" customWidth="1"/>
    <col min="3" max="3" width="9" customWidth="1"/>
    <col min="4" max="4" width="15" customWidth="1"/>
    <col min="5" max="5" width="14" customWidth="1"/>
    <col min="6" max="6" width="15" customWidth="1"/>
    <col min="7" max="7" width="24" customWidth="1"/>
    <col min="8" max="8" width="27" customWidth="1"/>
    <col min="9" max="9" width="74" customWidth="1"/>
  </cols>
  <sheetData>
    <row r="1" spans="1:9" ht="27.95" customHeight="1">
      <c r="A1" s="2" t="s">
        <v>72</v>
      </c>
      <c r="B1" s="1"/>
      <c r="C1" s="1"/>
      <c r="D1" s="1"/>
      <c r="E1" s="1"/>
      <c r="F1" s="1"/>
      <c r="G1" s="1"/>
      <c r="H1" s="1"/>
      <c r="I1" s="1"/>
    </row>
    <row r="2" spans="1:9" ht="26.1" customHeight="1">
      <c r="A2" s="3" t="s">
        <v>73</v>
      </c>
      <c r="B2" s="1"/>
      <c r="C2" s="1"/>
      <c r="D2" s="1"/>
      <c r="E2" s="1"/>
      <c r="F2" s="1"/>
      <c r="G2" s="1"/>
      <c r="H2" s="1"/>
      <c r="I2" s="1"/>
    </row>
    <row r="3" spans="1:9" ht="42" customHeight="1">
      <c r="A3" s="1"/>
      <c r="B3" s="1"/>
      <c r="C3" s="1"/>
      <c r="D3" s="1"/>
      <c r="E3" s="1"/>
      <c r="F3" s="1"/>
      <c r="G3" s="1"/>
      <c r="H3" s="1"/>
      <c r="I3" s="1"/>
    </row>
    <row r="4" spans="1:9" ht="42" customHeight="1">
      <c r="A4" s="4" t="s">
        <v>74</v>
      </c>
      <c r="B4" s="4" t="s">
        <v>75</v>
      </c>
      <c r="C4" s="4" t="s">
        <v>4</v>
      </c>
      <c r="D4" s="4" t="s">
        <v>3</v>
      </c>
      <c r="E4" s="4" t="s">
        <v>76</v>
      </c>
      <c r="F4" s="4" t="s">
        <v>77</v>
      </c>
      <c r="G4" s="4" t="s">
        <v>5</v>
      </c>
      <c r="H4" s="4" t="s">
        <v>78</v>
      </c>
      <c r="I4" s="4" t="s">
        <v>79</v>
      </c>
    </row>
    <row r="5" spans="1:9" ht="42" customHeight="1">
      <c r="A5" s="9" t="s">
        <v>80</v>
      </c>
      <c r="B5" s="9" t="s">
        <v>81</v>
      </c>
      <c r="C5" s="9" t="s">
        <v>8</v>
      </c>
      <c r="D5" s="10">
        <f>Measurements!B11</f>
        <v>201.66666666666669</v>
      </c>
      <c r="E5" s="11">
        <v>0</v>
      </c>
      <c r="F5" s="10">
        <f t="shared" ref="F5:F36" si="0">D5*(1+E5)</f>
        <v>201.66666666666669</v>
      </c>
      <c r="G5" s="9" t="s">
        <v>18</v>
      </c>
      <c r="H5" s="9" t="s">
        <v>82</v>
      </c>
      <c r="I5" s="9" t="s">
        <v>83</v>
      </c>
    </row>
    <row r="6" spans="1:9" ht="42" customHeight="1">
      <c r="A6" s="5" t="s">
        <v>80</v>
      </c>
      <c r="B6" s="5" t="s">
        <v>84</v>
      </c>
      <c r="C6" s="5" t="s">
        <v>8</v>
      </c>
      <c r="D6" s="6">
        <f>SUM(Measurements!B20,Measurements!B21,Measurements!B22,Measurements!B23)</f>
        <v>102.99999999999999</v>
      </c>
      <c r="E6" s="7">
        <v>0</v>
      </c>
      <c r="F6" s="6">
        <f t="shared" si="0"/>
        <v>102.99999999999999</v>
      </c>
      <c r="G6" s="12" t="s">
        <v>9</v>
      </c>
      <c r="H6" s="5" t="s">
        <v>85</v>
      </c>
      <c r="I6" s="5" t="s">
        <v>86</v>
      </c>
    </row>
    <row r="7" spans="1:9" ht="42" customHeight="1">
      <c r="A7" s="5" t="s">
        <v>80</v>
      </c>
      <c r="B7" s="5" t="s">
        <v>87</v>
      </c>
      <c r="C7" s="5" t="s">
        <v>8</v>
      </c>
      <c r="D7" s="6">
        <f>Measurements!B24</f>
        <v>31.5</v>
      </c>
      <c r="E7" s="7">
        <v>0</v>
      </c>
      <c r="F7" s="6">
        <f t="shared" si="0"/>
        <v>31.5</v>
      </c>
      <c r="G7" s="12" t="s">
        <v>9</v>
      </c>
      <c r="H7" s="5" t="s">
        <v>85</v>
      </c>
      <c r="I7" s="5" t="s">
        <v>88</v>
      </c>
    </row>
    <row r="8" spans="1:9" ht="42" customHeight="1">
      <c r="A8" s="5" t="s">
        <v>80</v>
      </c>
      <c r="B8" s="5" t="s">
        <v>89</v>
      </c>
      <c r="C8" s="5" t="s">
        <v>8</v>
      </c>
      <c r="D8" s="6">
        <f>Measurements!B15</f>
        <v>82</v>
      </c>
      <c r="E8" s="7">
        <v>0</v>
      </c>
      <c r="F8" s="6">
        <f t="shared" si="0"/>
        <v>82</v>
      </c>
      <c r="G8" s="5" t="s">
        <v>18</v>
      </c>
      <c r="H8" s="5" t="s">
        <v>90</v>
      </c>
      <c r="I8" s="5" t="s">
        <v>91</v>
      </c>
    </row>
    <row r="9" spans="1:9" ht="42" customHeight="1">
      <c r="A9" s="14" t="s">
        <v>80</v>
      </c>
      <c r="B9" s="14" t="s">
        <v>92</v>
      </c>
      <c r="C9" s="14" t="s">
        <v>8</v>
      </c>
      <c r="D9" s="15">
        <f>SUM(D5:D8)</f>
        <v>418.16666666666669</v>
      </c>
      <c r="E9" s="16">
        <v>0</v>
      </c>
      <c r="F9" s="15">
        <f t="shared" si="0"/>
        <v>418.16666666666669</v>
      </c>
      <c r="G9" s="17" t="s">
        <v>9</v>
      </c>
      <c r="H9" s="14" t="s">
        <v>85</v>
      </c>
      <c r="I9" s="14" t="s">
        <v>93</v>
      </c>
    </row>
    <row r="10" spans="1:9" ht="42" customHeight="1">
      <c r="A10" s="5" t="s">
        <v>80</v>
      </c>
      <c r="B10" s="5" t="s">
        <v>94</v>
      </c>
      <c r="C10" s="5" t="s">
        <v>8</v>
      </c>
      <c r="D10" s="6">
        <f>Measurements!B25</f>
        <v>20</v>
      </c>
      <c r="E10" s="7">
        <v>0</v>
      </c>
      <c r="F10" s="6">
        <f t="shared" si="0"/>
        <v>20</v>
      </c>
      <c r="G10" s="12" t="s">
        <v>9</v>
      </c>
      <c r="H10" s="5" t="s">
        <v>95</v>
      </c>
      <c r="I10" s="5" t="s">
        <v>96</v>
      </c>
    </row>
    <row r="11" spans="1:9" ht="42" customHeight="1">
      <c r="A11" s="5" t="s">
        <v>80</v>
      </c>
      <c r="B11" s="5" t="s">
        <v>97</v>
      </c>
      <c r="C11" s="5" t="s">
        <v>12</v>
      </c>
      <c r="D11" s="6">
        <f>Measurements!B5</f>
        <v>2006</v>
      </c>
      <c r="E11" s="7">
        <v>0</v>
      </c>
      <c r="F11" s="6">
        <f t="shared" si="0"/>
        <v>2006</v>
      </c>
      <c r="G11" s="5" t="s">
        <v>13</v>
      </c>
      <c r="H11" s="5" t="s">
        <v>98</v>
      </c>
      <c r="I11" s="5" t="s">
        <v>99</v>
      </c>
    </row>
    <row r="12" spans="1:9" ht="42" customHeight="1">
      <c r="A12" s="5" t="s">
        <v>80</v>
      </c>
      <c r="B12" s="5" t="s">
        <v>100</v>
      </c>
      <c r="C12" s="5" t="s">
        <v>12</v>
      </c>
      <c r="D12" s="6">
        <f>Measurements!B6</f>
        <v>420</v>
      </c>
      <c r="E12" s="7">
        <v>0</v>
      </c>
      <c r="F12" s="6">
        <f t="shared" si="0"/>
        <v>420</v>
      </c>
      <c r="G12" s="5" t="s">
        <v>13</v>
      </c>
      <c r="H12" s="5" t="s">
        <v>98</v>
      </c>
      <c r="I12" s="5" t="s">
        <v>101</v>
      </c>
    </row>
    <row r="13" spans="1:9" ht="42" customHeight="1">
      <c r="A13" s="5" t="s">
        <v>80</v>
      </c>
      <c r="B13" s="5" t="s">
        <v>15</v>
      </c>
      <c r="C13" s="5" t="s">
        <v>12</v>
      </c>
      <c r="D13" s="6">
        <f>Measurements!B7</f>
        <v>134</v>
      </c>
      <c r="E13" s="7">
        <v>0</v>
      </c>
      <c r="F13" s="6">
        <f t="shared" si="0"/>
        <v>134</v>
      </c>
      <c r="G13" s="5" t="s">
        <v>13</v>
      </c>
      <c r="H13" s="5" t="s">
        <v>102</v>
      </c>
      <c r="I13" s="5" t="s">
        <v>103</v>
      </c>
    </row>
    <row r="14" spans="1:9" ht="42" customHeight="1">
      <c r="A14" s="14" t="s">
        <v>80</v>
      </c>
      <c r="B14" s="14" t="s">
        <v>104</v>
      </c>
      <c r="C14" s="14" t="s">
        <v>12</v>
      </c>
      <c r="D14" s="15">
        <f>SUM(D11:D13)</f>
        <v>2560</v>
      </c>
      <c r="E14" s="16">
        <v>0</v>
      </c>
      <c r="F14" s="15">
        <f t="shared" si="0"/>
        <v>2560</v>
      </c>
      <c r="G14" s="14" t="s">
        <v>18</v>
      </c>
      <c r="H14" s="14" t="s">
        <v>102</v>
      </c>
      <c r="I14" s="14" t="s">
        <v>105</v>
      </c>
    </row>
    <row r="15" spans="1:9" ht="42" customHeight="1">
      <c r="A15" s="5" t="s">
        <v>80</v>
      </c>
      <c r="B15" s="5" t="s">
        <v>106</v>
      </c>
      <c r="C15" s="5" t="s">
        <v>107</v>
      </c>
      <c r="D15" s="6">
        <f>D11*Measurements!B17/12/27</f>
        <v>24.76543209876543</v>
      </c>
      <c r="E15" s="7">
        <v>0.05</v>
      </c>
      <c r="F15" s="6">
        <f t="shared" si="0"/>
        <v>26.003703703703703</v>
      </c>
      <c r="G15" s="5" t="s">
        <v>18</v>
      </c>
      <c r="H15" s="5" t="s">
        <v>85</v>
      </c>
      <c r="I15" s="5" t="s">
        <v>108</v>
      </c>
    </row>
    <row r="16" spans="1:9" ht="42" customHeight="1">
      <c r="A16" s="5" t="s">
        <v>80</v>
      </c>
      <c r="B16" s="5" t="s">
        <v>109</v>
      </c>
      <c r="C16" s="5" t="s">
        <v>107</v>
      </c>
      <c r="D16" s="6">
        <f>D12*Measurements!B18/12/27</f>
        <v>5.1851851851851851</v>
      </c>
      <c r="E16" s="7">
        <v>0.05</v>
      </c>
      <c r="F16" s="6">
        <f t="shared" si="0"/>
        <v>5.4444444444444446</v>
      </c>
      <c r="G16" s="5" t="s">
        <v>18</v>
      </c>
      <c r="H16" s="5" t="s">
        <v>85</v>
      </c>
      <c r="I16" s="5" t="s">
        <v>110</v>
      </c>
    </row>
    <row r="17" spans="1:9" ht="42" customHeight="1">
      <c r="A17" s="5" t="s">
        <v>80</v>
      </c>
      <c r="B17" s="5" t="s">
        <v>111</v>
      </c>
      <c r="C17" s="5" t="s">
        <v>107</v>
      </c>
      <c r="D17" s="6">
        <f>D13*Measurements!B19/12/27</f>
        <v>1.654320987654321</v>
      </c>
      <c r="E17" s="7">
        <v>0.05</v>
      </c>
      <c r="F17" s="6">
        <f t="shared" si="0"/>
        <v>1.7370370370370372</v>
      </c>
      <c r="G17" s="12" t="s">
        <v>35</v>
      </c>
      <c r="H17" s="5" t="s">
        <v>102</v>
      </c>
      <c r="I17" s="5" t="s">
        <v>112</v>
      </c>
    </row>
    <row r="18" spans="1:9" ht="42" customHeight="1">
      <c r="A18" s="5" t="s">
        <v>80</v>
      </c>
      <c r="B18" s="5" t="s">
        <v>113</v>
      </c>
      <c r="C18" s="5" t="s">
        <v>8</v>
      </c>
      <c r="D18" s="6">
        <f>(Measurements!B5+Measurements!B6)*2/1.5</f>
        <v>3234.6666666666665</v>
      </c>
      <c r="E18" s="7">
        <v>0.15</v>
      </c>
      <c r="F18" s="6">
        <f t="shared" si="0"/>
        <v>3719.8666666666663</v>
      </c>
      <c r="G18" s="12" t="s">
        <v>9</v>
      </c>
      <c r="H18" s="5" t="s">
        <v>85</v>
      </c>
      <c r="I18" s="5" t="s">
        <v>114</v>
      </c>
    </row>
    <row r="19" spans="1:9" ht="42" customHeight="1">
      <c r="A19" s="5" t="s">
        <v>80</v>
      </c>
      <c r="B19" s="5" t="s">
        <v>115</v>
      </c>
      <c r="C19" s="5" t="s">
        <v>12</v>
      </c>
      <c r="D19" s="6">
        <f>Measurements!B5+Measurements!B6</f>
        <v>2426</v>
      </c>
      <c r="E19" s="7">
        <v>0.1</v>
      </c>
      <c r="F19" s="6">
        <f t="shared" si="0"/>
        <v>2668.6000000000004</v>
      </c>
      <c r="G19" s="5" t="s">
        <v>13</v>
      </c>
      <c r="H19" s="5" t="s">
        <v>85</v>
      </c>
      <c r="I19" s="5" t="s">
        <v>116</v>
      </c>
    </row>
    <row r="20" spans="1:9" ht="42" customHeight="1">
      <c r="A20" s="5" t="s">
        <v>80</v>
      </c>
      <c r="B20" s="5" t="s">
        <v>117</v>
      </c>
      <c r="C20" s="5" t="s">
        <v>107</v>
      </c>
      <c r="D20" s="6">
        <f>(Measurements!B5+Measurements!B6)*4/12/27</f>
        <v>29.950617283950617</v>
      </c>
      <c r="E20" s="7">
        <v>0.1</v>
      </c>
      <c r="F20" s="6">
        <f t="shared" si="0"/>
        <v>32.945679012345678</v>
      </c>
      <c r="G20" s="5" t="s">
        <v>18</v>
      </c>
      <c r="H20" s="5" t="s">
        <v>85</v>
      </c>
      <c r="I20" s="5" t="s">
        <v>118</v>
      </c>
    </row>
    <row r="21" spans="1:9" ht="42" customHeight="1">
      <c r="A21" s="9" t="s">
        <v>119</v>
      </c>
      <c r="B21" s="9" t="s">
        <v>120</v>
      </c>
      <c r="C21" s="9" t="s">
        <v>12</v>
      </c>
      <c r="D21" s="10">
        <f>Measurements!B11*Measurements!B10</f>
        <v>1815.0000000000002</v>
      </c>
      <c r="E21" s="11">
        <v>0</v>
      </c>
      <c r="F21" s="10">
        <f t="shared" si="0"/>
        <v>1815.0000000000002</v>
      </c>
      <c r="G21" s="9" t="s">
        <v>18</v>
      </c>
      <c r="H21" s="9" t="s">
        <v>121</v>
      </c>
      <c r="I21" s="9" t="s">
        <v>122</v>
      </c>
    </row>
    <row r="22" spans="1:9" ht="42" customHeight="1">
      <c r="A22" s="5" t="s">
        <v>119</v>
      </c>
      <c r="B22" s="5" t="s">
        <v>123</v>
      </c>
      <c r="C22" s="5" t="s">
        <v>12</v>
      </c>
      <c r="D22" s="6">
        <f>Measurements!B16*Measurements!B10</f>
        <v>1980</v>
      </c>
      <c r="E22" s="7">
        <v>0</v>
      </c>
      <c r="F22" s="6">
        <f t="shared" si="0"/>
        <v>1980</v>
      </c>
      <c r="G22" s="12" t="s">
        <v>9</v>
      </c>
      <c r="H22" s="5" t="s">
        <v>124</v>
      </c>
      <c r="I22" s="5" t="s">
        <v>125</v>
      </c>
    </row>
    <row r="23" spans="1:9" ht="42" customHeight="1">
      <c r="A23" s="5" t="s">
        <v>119</v>
      </c>
      <c r="B23" s="5" t="s">
        <v>126</v>
      </c>
      <c r="C23" s="5" t="s">
        <v>12</v>
      </c>
      <c r="D23" s="6">
        <f>Measurements!B15*Measurements!B14</f>
        <v>656</v>
      </c>
      <c r="E23" s="7">
        <v>0</v>
      </c>
      <c r="F23" s="6">
        <f t="shared" si="0"/>
        <v>656</v>
      </c>
      <c r="G23" s="5" t="s">
        <v>18</v>
      </c>
      <c r="H23" s="5" t="s">
        <v>121</v>
      </c>
      <c r="I23" s="5" t="s">
        <v>127</v>
      </c>
    </row>
    <row r="24" spans="1:9" ht="42" customHeight="1">
      <c r="A24" s="14" t="s">
        <v>119</v>
      </c>
      <c r="B24" s="14" t="s">
        <v>128</v>
      </c>
      <c r="C24" s="14" t="s">
        <v>12</v>
      </c>
      <c r="D24" s="15">
        <f>SUM(D21:D23)</f>
        <v>4451</v>
      </c>
      <c r="E24" s="16">
        <v>0</v>
      </c>
      <c r="F24" s="15">
        <f t="shared" si="0"/>
        <v>4451</v>
      </c>
      <c r="G24" s="17" t="s">
        <v>9</v>
      </c>
      <c r="H24" s="14" t="s">
        <v>121</v>
      </c>
      <c r="I24" s="14" t="s">
        <v>129</v>
      </c>
    </row>
    <row r="25" spans="1:9" ht="42" customHeight="1">
      <c r="A25" s="5" t="s">
        <v>119</v>
      </c>
      <c r="B25" s="5" t="s">
        <v>130</v>
      </c>
      <c r="C25" s="5" t="s">
        <v>12</v>
      </c>
      <c r="D25" s="6">
        <f>Measurements!B26</f>
        <v>180</v>
      </c>
      <c r="E25" s="7">
        <v>0</v>
      </c>
      <c r="F25" s="6">
        <f t="shared" si="0"/>
        <v>180</v>
      </c>
      <c r="G25" s="12" t="s">
        <v>9</v>
      </c>
      <c r="H25" s="5" t="s">
        <v>131</v>
      </c>
      <c r="I25" s="5" t="s">
        <v>132</v>
      </c>
    </row>
    <row r="26" spans="1:9" ht="42" customHeight="1">
      <c r="A26" s="5" t="s">
        <v>119</v>
      </c>
      <c r="B26" s="5" t="s">
        <v>133</v>
      </c>
      <c r="C26" s="5" t="s">
        <v>12</v>
      </c>
      <c r="D26" s="6">
        <f>Measurements!B13^2*(Measurements!B36/12)/2</f>
        <v>66.666666666666657</v>
      </c>
      <c r="E26" s="7">
        <v>0</v>
      </c>
      <c r="F26" s="6">
        <f t="shared" si="0"/>
        <v>66.666666666666657</v>
      </c>
      <c r="G26" s="5" t="s">
        <v>18</v>
      </c>
      <c r="H26" s="5" t="s">
        <v>131</v>
      </c>
      <c r="I26" s="5" t="s">
        <v>134</v>
      </c>
    </row>
    <row r="27" spans="1:9" ht="42" customHeight="1">
      <c r="A27" s="5" t="s">
        <v>119</v>
      </c>
      <c r="B27" s="5" t="s">
        <v>135</v>
      </c>
      <c r="C27" s="5" t="s">
        <v>38</v>
      </c>
      <c r="D27" s="8">
        <f>ROUNDUP((Measurements!B11+Measurements!B16+Measurements!B15)/(16/12),0)</f>
        <v>378</v>
      </c>
      <c r="E27" s="7">
        <v>0.15</v>
      </c>
      <c r="F27" s="8">
        <f t="shared" si="0"/>
        <v>434.7</v>
      </c>
      <c r="G27" s="12" t="s">
        <v>35</v>
      </c>
      <c r="H27" s="5" t="s">
        <v>136</v>
      </c>
      <c r="I27" s="5" t="s">
        <v>137</v>
      </c>
    </row>
    <row r="28" spans="1:9" ht="42" customHeight="1">
      <c r="A28" s="5" t="s">
        <v>119</v>
      </c>
      <c r="B28" s="5" t="s">
        <v>138</v>
      </c>
      <c r="C28" s="5" t="s">
        <v>8</v>
      </c>
      <c r="D28" s="6">
        <f>3*(Measurements!B11+Measurements!B16+Measurements!B15)</f>
        <v>1511</v>
      </c>
      <c r="E28" s="7">
        <v>0.1</v>
      </c>
      <c r="F28" s="6">
        <f t="shared" si="0"/>
        <v>1662.1000000000001</v>
      </c>
      <c r="G28" s="12" t="s">
        <v>9</v>
      </c>
      <c r="H28" s="5" t="s">
        <v>139</v>
      </c>
      <c r="I28" s="5" t="s">
        <v>140</v>
      </c>
    </row>
    <row r="29" spans="1:9" ht="42" customHeight="1">
      <c r="A29" s="9" t="s">
        <v>141</v>
      </c>
      <c r="B29" s="9" t="s">
        <v>142</v>
      </c>
      <c r="C29" s="9" t="s">
        <v>12</v>
      </c>
      <c r="D29" s="10">
        <f>Measurements!B40</f>
        <v>0</v>
      </c>
      <c r="E29" s="11">
        <v>0</v>
      </c>
      <c r="F29" s="10">
        <f t="shared" si="0"/>
        <v>0</v>
      </c>
      <c r="G29" s="9" t="s">
        <v>23</v>
      </c>
      <c r="H29" s="9" t="s">
        <v>85</v>
      </c>
      <c r="I29" s="9" t="s">
        <v>143</v>
      </c>
    </row>
    <row r="30" spans="1:9" ht="42" customHeight="1">
      <c r="A30" s="5" t="s">
        <v>141</v>
      </c>
      <c r="B30" s="5" t="s">
        <v>144</v>
      </c>
      <c r="C30" s="5" t="s">
        <v>12</v>
      </c>
      <c r="D30" s="6">
        <f>Measurements!B5</f>
        <v>2006</v>
      </c>
      <c r="E30" s="7">
        <v>0</v>
      </c>
      <c r="F30" s="6">
        <f t="shared" si="0"/>
        <v>2006</v>
      </c>
      <c r="G30" s="5" t="s">
        <v>145</v>
      </c>
      <c r="H30" s="5" t="s">
        <v>139</v>
      </c>
      <c r="I30" s="5" t="s">
        <v>146</v>
      </c>
    </row>
    <row r="31" spans="1:9" ht="42" customHeight="1">
      <c r="A31" s="5" t="s">
        <v>141</v>
      </c>
      <c r="B31" s="5" t="s">
        <v>147</v>
      </c>
      <c r="C31" s="5" t="s">
        <v>12</v>
      </c>
      <c r="D31" s="6">
        <f>Measurements!B6</f>
        <v>420</v>
      </c>
      <c r="E31" s="7">
        <v>0</v>
      </c>
      <c r="F31" s="6">
        <f t="shared" si="0"/>
        <v>420</v>
      </c>
      <c r="G31" s="5" t="s">
        <v>145</v>
      </c>
      <c r="H31" s="5" t="s">
        <v>139</v>
      </c>
      <c r="I31" s="5" t="s">
        <v>148</v>
      </c>
    </row>
    <row r="32" spans="1:9" ht="42" customHeight="1">
      <c r="A32" s="5" t="s">
        <v>141</v>
      </c>
      <c r="B32" s="5" t="s">
        <v>149</v>
      </c>
      <c r="C32" s="5" t="s">
        <v>12</v>
      </c>
      <c r="D32" s="6">
        <f>Measurements!B7</f>
        <v>134</v>
      </c>
      <c r="E32" s="7">
        <v>0</v>
      </c>
      <c r="F32" s="6">
        <f t="shared" si="0"/>
        <v>134</v>
      </c>
      <c r="G32" s="5" t="s">
        <v>145</v>
      </c>
      <c r="H32" s="5" t="s">
        <v>139</v>
      </c>
      <c r="I32" s="5" t="s">
        <v>150</v>
      </c>
    </row>
    <row r="33" spans="1:9" ht="42" customHeight="1">
      <c r="A33" s="14" t="s">
        <v>141</v>
      </c>
      <c r="B33" s="14" t="s">
        <v>151</v>
      </c>
      <c r="C33" s="14" t="s">
        <v>12</v>
      </c>
      <c r="D33" s="15">
        <f>SUM(D30:D31)</f>
        <v>2426</v>
      </c>
      <c r="E33" s="16">
        <v>0</v>
      </c>
      <c r="F33" s="15">
        <f t="shared" si="0"/>
        <v>2426</v>
      </c>
      <c r="G33" s="14" t="s">
        <v>18</v>
      </c>
      <c r="H33" s="14" t="s">
        <v>139</v>
      </c>
      <c r="I33" s="14" t="s">
        <v>152</v>
      </c>
    </row>
    <row r="34" spans="1:9" ht="42" customHeight="1">
      <c r="A34" s="5" t="s">
        <v>141</v>
      </c>
      <c r="B34" s="5" t="s">
        <v>153</v>
      </c>
      <c r="C34" s="5" t="s">
        <v>8</v>
      </c>
      <c r="D34" s="6">
        <f>D33/(16/12)</f>
        <v>1819.5</v>
      </c>
      <c r="E34" s="7">
        <v>0.1</v>
      </c>
      <c r="F34" s="6">
        <f t="shared" si="0"/>
        <v>2001.4500000000003</v>
      </c>
      <c r="G34" s="12" t="s">
        <v>35</v>
      </c>
      <c r="H34" s="5" t="s">
        <v>139</v>
      </c>
      <c r="I34" s="5" t="s">
        <v>154</v>
      </c>
    </row>
    <row r="35" spans="1:9" ht="42" customHeight="1">
      <c r="A35" s="9" t="s">
        <v>155</v>
      </c>
      <c r="B35" s="9" t="s">
        <v>156</v>
      </c>
      <c r="C35" s="9" t="s">
        <v>12</v>
      </c>
      <c r="D35" s="10">
        <f>D21+2*D22-Measurements!B27-Measurements!B30-Measurements!B31</f>
        <v>4810</v>
      </c>
      <c r="E35" s="11">
        <v>0</v>
      </c>
      <c r="F35" s="10">
        <f t="shared" si="0"/>
        <v>4810</v>
      </c>
      <c r="G35" s="18" t="s">
        <v>9</v>
      </c>
      <c r="H35" s="9" t="s">
        <v>157</v>
      </c>
      <c r="I35" s="9" t="s">
        <v>158</v>
      </c>
    </row>
    <row r="36" spans="1:9" ht="42" customHeight="1">
      <c r="A36" s="5" t="s">
        <v>155</v>
      </c>
      <c r="B36" s="5" t="s">
        <v>159</v>
      </c>
      <c r="C36" s="5" t="s">
        <v>12</v>
      </c>
      <c r="D36" s="6">
        <f>Measurements!B5</f>
        <v>2006</v>
      </c>
      <c r="E36" s="7">
        <v>0</v>
      </c>
      <c r="F36" s="6">
        <f t="shared" si="0"/>
        <v>2006</v>
      </c>
      <c r="G36" s="12" t="s">
        <v>160</v>
      </c>
      <c r="H36" s="5" t="s">
        <v>124</v>
      </c>
      <c r="I36" s="5" t="s">
        <v>161</v>
      </c>
    </row>
    <row r="37" spans="1:9" ht="42" customHeight="1">
      <c r="A37" s="14" t="s">
        <v>155</v>
      </c>
      <c r="B37" s="14" t="s">
        <v>162</v>
      </c>
      <c r="C37" s="14" t="s">
        <v>12</v>
      </c>
      <c r="D37" s="15">
        <f>D35+D36</f>
        <v>6816</v>
      </c>
      <c r="E37" s="16">
        <v>0.1</v>
      </c>
      <c r="F37" s="15">
        <f t="shared" ref="F37:F68" si="1">D37*(1+E37)</f>
        <v>7497.6</v>
      </c>
      <c r="G37" s="17" t="s">
        <v>9</v>
      </c>
      <c r="H37" s="14" t="s">
        <v>124</v>
      </c>
      <c r="I37" s="14" t="s">
        <v>163</v>
      </c>
    </row>
    <row r="38" spans="1:9" ht="42" customHeight="1">
      <c r="A38" s="5" t="s">
        <v>155</v>
      </c>
      <c r="B38" s="5" t="s">
        <v>164</v>
      </c>
      <c r="C38" s="5" t="s">
        <v>38</v>
      </c>
      <c r="D38" s="8">
        <f>ROUNDUP(F37/48,0)</f>
        <v>157</v>
      </c>
      <c r="E38" s="7">
        <v>0</v>
      </c>
      <c r="F38" s="8">
        <f t="shared" si="1"/>
        <v>157</v>
      </c>
      <c r="G38" s="5" t="s">
        <v>18</v>
      </c>
      <c r="H38" s="5" t="s">
        <v>124</v>
      </c>
      <c r="I38" s="5" t="s">
        <v>165</v>
      </c>
    </row>
    <row r="39" spans="1:9" ht="42" customHeight="1">
      <c r="A39" s="5" t="s">
        <v>155</v>
      </c>
      <c r="B39" s="5" t="s">
        <v>166</v>
      </c>
      <c r="C39" s="5" t="s">
        <v>12</v>
      </c>
      <c r="D39" s="6">
        <f>Measurements!B31</f>
        <v>200</v>
      </c>
      <c r="E39" s="7">
        <v>0.1</v>
      </c>
      <c r="F39" s="6">
        <f t="shared" si="1"/>
        <v>220.00000000000003</v>
      </c>
      <c r="G39" s="12" t="s">
        <v>35</v>
      </c>
      <c r="H39" s="5" t="s">
        <v>167</v>
      </c>
      <c r="I39" s="5" t="s">
        <v>168</v>
      </c>
    </row>
    <row r="40" spans="1:9" ht="42" customHeight="1">
      <c r="A40" s="5" t="s">
        <v>155</v>
      </c>
      <c r="B40" s="5" t="s">
        <v>169</v>
      </c>
      <c r="C40" s="5" t="s">
        <v>12</v>
      </c>
      <c r="D40" s="6">
        <f>Measurements!B32*Measurements!B14</f>
        <v>328</v>
      </c>
      <c r="E40" s="7">
        <v>0.1</v>
      </c>
      <c r="F40" s="6">
        <f t="shared" si="1"/>
        <v>360.8</v>
      </c>
      <c r="G40" s="12" t="s">
        <v>9</v>
      </c>
      <c r="H40" s="5" t="s">
        <v>170</v>
      </c>
      <c r="I40" s="5" t="s">
        <v>171</v>
      </c>
    </row>
    <row r="41" spans="1:9" ht="42" customHeight="1">
      <c r="A41" s="5" t="s">
        <v>155</v>
      </c>
      <c r="B41" s="5" t="s">
        <v>172</v>
      </c>
      <c r="C41" s="5" t="s">
        <v>12</v>
      </c>
      <c r="D41" s="6">
        <f>(Measurements!B15-Measurements!B32)*Measurements!B14-Measurements!B28</f>
        <v>195</v>
      </c>
      <c r="E41" s="7">
        <v>0.1</v>
      </c>
      <c r="F41" s="6">
        <f t="shared" si="1"/>
        <v>214.50000000000003</v>
      </c>
      <c r="G41" s="12" t="s">
        <v>173</v>
      </c>
      <c r="H41" s="5" t="s">
        <v>124</v>
      </c>
      <c r="I41" s="5" t="s">
        <v>174</v>
      </c>
    </row>
    <row r="42" spans="1:9" ht="42" customHeight="1">
      <c r="A42" s="5" t="s">
        <v>155</v>
      </c>
      <c r="B42" s="5" t="s">
        <v>175</v>
      </c>
      <c r="C42" s="5" t="s">
        <v>12</v>
      </c>
      <c r="D42" s="6">
        <f>Measurements!B6</f>
        <v>420</v>
      </c>
      <c r="E42" s="7">
        <v>0.1</v>
      </c>
      <c r="F42" s="6">
        <f t="shared" si="1"/>
        <v>462.00000000000006</v>
      </c>
      <c r="G42" s="12" t="s">
        <v>173</v>
      </c>
      <c r="H42" s="5" t="s">
        <v>176</v>
      </c>
      <c r="I42" s="5" t="s">
        <v>177</v>
      </c>
    </row>
    <row r="43" spans="1:9" ht="42" customHeight="1">
      <c r="A43" s="5" t="s">
        <v>155</v>
      </c>
      <c r="B43" s="5" t="s">
        <v>178</v>
      </c>
      <c r="C43" s="5" t="s">
        <v>12</v>
      </c>
      <c r="D43" s="6">
        <f>Measurements!B7+Measurements!B11*Measurements!B33</f>
        <v>436.5</v>
      </c>
      <c r="E43" s="7">
        <v>0.1</v>
      </c>
      <c r="F43" s="6">
        <f t="shared" si="1"/>
        <v>480.15000000000003</v>
      </c>
      <c r="G43" s="12" t="s">
        <v>9</v>
      </c>
      <c r="H43" s="5" t="s">
        <v>179</v>
      </c>
      <c r="I43" s="5" t="s">
        <v>180</v>
      </c>
    </row>
    <row r="44" spans="1:9" ht="42" customHeight="1">
      <c r="A44" s="9" t="s">
        <v>181</v>
      </c>
      <c r="B44" s="9" t="s">
        <v>182</v>
      </c>
      <c r="C44" s="9" t="s">
        <v>12</v>
      </c>
      <c r="D44" s="10">
        <f>D21+Measurements!B26-Measurements!B27-Measurements!B29</f>
        <v>1540.0000000000002</v>
      </c>
      <c r="E44" s="11">
        <v>0.1</v>
      </c>
      <c r="F44" s="10">
        <f t="shared" si="1"/>
        <v>1694.0000000000005</v>
      </c>
      <c r="G44" s="18" t="s">
        <v>9</v>
      </c>
      <c r="H44" s="9" t="s">
        <v>131</v>
      </c>
      <c r="I44" s="9" t="s">
        <v>183</v>
      </c>
    </row>
    <row r="45" spans="1:9" ht="42" customHeight="1">
      <c r="A45" s="5" t="s">
        <v>181</v>
      </c>
      <c r="B45" s="5" t="s">
        <v>184</v>
      </c>
      <c r="C45" s="5" t="s">
        <v>12</v>
      </c>
      <c r="D45" s="6">
        <f>D23+Measurements!B13^2*(Measurements!B36/12)/2-Measurements!B28</f>
        <v>589.66666666666663</v>
      </c>
      <c r="E45" s="7">
        <v>0.1</v>
      </c>
      <c r="F45" s="6">
        <f t="shared" si="1"/>
        <v>648.63333333333333</v>
      </c>
      <c r="G45" s="12" t="s">
        <v>9</v>
      </c>
      <c r="H45" s="5" t="s">
        <v>185</v>
      </c>
      <c r="I45" s="5" t="s">
        <v>186</v>
      </c>
    </row>
    <row r="46" spans="1:9" ht="42" customHeight="1">
      <c r="A46" s="14" t="s">
        <v>181</v>
      </c>
      <c r="B46" s="14" t="s">
        <v>187</v>
      </c>
      <c r="C46" s="14" t="s">
        <v>12</v>
      </c>
      <c r="D46" s="15">
        <f>D44+D45</f>
        <v>2129.666666666667</v>
      </c>
      <c r="E46" s="16">
        <v>0.1</v>
      </c>
      <c r="F46" s="15">
        <f t="shared" si="1"/>
        <v>2342.6333333333337</v>
      </c>
      <c r="G46" s="17" t="s">
        <v>9</v>
      </c>
      <c r="H46" s="14" t="s">
        <v>131</v>
      </c>
      <c r="I46" s="14" t="s">
        <v>188</v>
      </c>
    </row>
    <row r="47" spans="1:9" ht="42" customHeight="1">
      <c r="A47" s="5" t="s">
        <v>181</v>
      </c>
      <c r="B47" s="5" t="s">
        <v>189</v>
      </c>
      <c r="C47" s="5" t="s">
        <v>12</v>
      </c>
      <c r="D47" s="6">
        <f>Measurements!B29</f>
        <v>130</v>
      </c>
      <c r="E47" s="7">
        <v>0.1</v>
      </c>
      <c r="F47" s="6">
        <f t="shared" si="1"/>
        <v>143</v>
      </c>
      <c r="G47" s="12" t="s">
        <v>35</v>
      </c>
      <c r="H47" s="5" t="s">
        <v>131</v>
      </c>
      <c r="I47" s="5" t="s">
        <v>190</v>
      </c>
    </row>
    <row r="48" spans="1:9" ht="42" customHeight="1">
      <c r="A48" s="5" t="s">
        <v>181</v>
      </c>
      <c r="B48" s="5" t="s">
        <v>191</v>
      </c>
      <c r="C48" s="5" t="s">
        <v>8</v>
      </c>
      <c r="D48" s="6">
        <f>Measurements!B11+Measurements!B15</f>
        <v>283.66666666666669</v>
      </c>
      <c r="E48" s="7">
        <v>0.1</v>
      </c>
      <c r="F48" s="6">
        <f t="shared" si="1"/>
        <v>312.03333333333336</v>
      </c>
      <c r="G48" s="12" t="s">
        <v>9</v>
      </c>
      <c r="H48" s="5" t="s">
        <v>131</v>
      </c>
      <c r="I48" s="5" t="s">
        <v>192</v>
      </c>
    </row>
    <row r="49" spans="1:9" ht="42" customHeight="1">
      <c r="A49" s="5" t="s">
        <v>181</v>
      </c>
      <c r="B49" s="5" t="s">
        <v>193</v>
      </c>
      <c r="C49" s="5" t="s">
        <v>12</v>
      </c>
      <c r="D49" s="6">
        <f>2*D46</f>
        <v>4259.3333333333339</v>
      </c>
      <c r="E49" s="7">
        <v>0.1</v>
      </c>
      <c r="F49" s="6">
        <f t="shared" si="1"/>
        <v>4685.2666666666673</v>
      </c>
      <c r="G49" s="12" t="s">
        <v>9</v>
      </c>
      <c r="H49" s="5" t="s">
        <v>131</v>
      </c>
      <c r="I49" s="5" t="s">
        <v>194</v>
      </c>
    </row>
    <row r="50" spans="1:9" ht="42" customHeight="1">
      <c r="A50" s="9" t="s">
        <v>195</v>
      </c>
      <c r="B50" s="9" t="s">
        <v>196</v>
      </c>
      <c r="C50" s="9" t="s">
        <v>12</v>
      </c>
      <c r="D50" s="10">
        <f>Measurements!B5+Measurements!B7+Measurements!B11*Measurements!B33+4*Measurements!B33^2</f>
        <v>2451.5</v>
      </c>
      <c r="E50" s="11">
        <v>0</v>
      </c>
      <c r="F50" s="10">
        <f t="shared" si="1"/>
        <v>2451.5</v>
      </c>
      <c r="G50" s="18" t="s">
        <v>9</v>
      </c>
      <c r="H50" s="9" t="s">
        <v>197</v>
      </c>
      <c r="I50" s="9" t="s">
        <v>198</v>
      </c>
    </row>
    <row r="51" spans="1:9" ht="42" customHeight="1">
      <c r="A51" s="5" t="s">
        <v>195</v>
      </c>
      <c r="B51" s="5" t="s">
        <v>199</v>
      </c>
      <c r="C51" s="5" t="s">
        <v>12</v>
      </c>
      <c r="D51" s="6">
        <f>(Measurements!B13+2*Measurements!B34)*(Measurements!B12+2*Measurements!B35)</f>
        <v>496</v>
      </c>
      <c r="E51" s="7">
        <v>0</v>
      </c>
      <c r="F51" s="6">
        <f t="shared" si="1"/>
        <v>496</v>
      </c>
      <c r="G51" s="12" t="s">
        <v>9</v>
      </c>
      <c r="H51" s="5" t="s">
        <v>131</v>
      </c>
      <c r="I51" s="5" t="s">
        <v>200</v>
      </c>
    </row>
    <row r="52" spans="1:9" ht="42" customHeight="1">
      <c r="A52" s="5" t="s">
        <v>195</v>
      </c>
      <c r="B52" s="5" t="s">
        <v>201</v>
      </c>
      <c r="C52" s="5" t="s">
        <v>12</v>
      </c>
      <c r="D52" s="6">
        <f>D50*Measurements!B37</f>
        <v>2584.1078946342609</v>
      </c>
      <c r="E52" s="7">
        <v>0.1</v>
      </c>
      <c r="F52" s="6">
        <f t="shared" si="1"/>
        <v>2842.5186840976871</v>
      </c>
      <c r="G52" s="12" t="s">
        <v>9</v>
      </c>
      <c r="H52" s="5" t="s">
        <v>131</v>
      </c>
      <c r="I52" s="5" t="s">
        <v>202</v>
      </c>
    </row>
    <row r="53" spans="1:9" ht="42" customHeight="1">
      <c r="A53" s="5" t="s">
        <v>195</v>
      </c>
      <c r="B53" s="5" t="s">
        <v>203</v>
      </c>
      <c r="C53" s="5" t="s">
        <v>12</v>
      </c>
      <c r="D53" s="6">
        <f>D51*Measurements!B37</f>
        <v>522.82990648117209</v>
      </c>
      <c r="E53" s="7">
        <v>0.1</v>
      </c>
      <c r="F53" s="6">
        <f t="shared" si="1"/>
        <v>575.11289712928931</v>
      </c>
      <c r="G53" s="12" t="s">
        <v>9</v>
      </c>
      <c r="H53" s="5" t="s">
        <v>131</v>
      </c>
      <c r="I53" s="5" t="s">
        <v>204</v>
      </c>
    </row>
    <row r="54" spans="1:9" ht="42" customHeight="1">
      <c r="A54" s="14" t="s">
        <v>195</v>
      </c>
      <c r="B54" s="14" t="s">
        <v>205</v>
      </c>
      <c r="C54" s="14" t="s">
        <v>12</v>
      </c>
      <c r="D54" s="15">
        <f>D52+D53</f>
        <v>3106.9378011154331</v>
      </c>
      <c r="E54" s="16">
        <v>0.1</v>
      </c>
      <c r="F54" s="15">
        <f t="shared" si="1"/>
        <v>3417.6315812269768</v>
      </c>
      <c r="G54" s="17" t="s">
        <v>9</v>
      </c>
      <c r="H54" s="14" t="s">
        <v>131</v>
      </c>
      <c r="I54" s="14" t="s">
        <v>206</v>
      </c>
    </row>
    <row r="55" spans="1:9" ht="42" customHeight="1">
      <c r="A55" s="5" t="s">
        <v>195</v>
      </c>
      <c r="B55" s="5" t="s">
        <v>207</v>
      </c>
      <c r="C55" s="5" t="s">
        <v>208</v>
      </c>
      <c r="D55" s="6">
        <f>F54/100</f>
        <v>34.17631581226977</v>
      </c>
      <c r="E55" s="7">
        <v>0</v>
      </c>
      <c r="F55" s="6">
        <f t="shared" si="1"/>
        <v>34.17631581226977</v>
      </c>
      <c r="G55" s="5" t="s">
        <v>18</v>
      </c>
      <c r="H55" s="5" t="s">
        <v>131</v>
      </c>
      <c r="I55" s="5" t="s">
        <v>209</v>
      </c>
    </row>
    <row r="56" spans="1:9" ht="42" customHeight="1">
      <c r="A56" s="5" t="s">
        <v>195</v>
      </c>
      <c r="B56" s="5" t="s">
        <v>210</v>
      </c>
      <c r="C56" s="5" t="s">
        <v>12</v>
      </c>
      <c r="D56" s="6">
        <f>D54</f>
        <v>3106.9378011154331</v>
      </c>
      <c r="E56" s="7">
        <v>0.1</v>
      </c>
      <c r="F56" s="6">
        <f t="shared" si="1"/>
        <v>3417.6315812269768</v>
      </c>
      <c r="G56" s="12" t="s">
        <v>9</v>
      </c>
      <c r="H56" s="5" t="s">
        <v>139</v>
      </c>
      <c r="I56" s="5" t="s">
        <v>211</v>
      </c>
    </row>
    <row r="57" spans="1:9" ht="42" customHeight="1">
      <c r="A57" s="5" t="s">
        <v>195</v>
      </c>
      <c r="B57" s="5" t="s">
        <v>212</v>
      </c>
      <c r="C57" s="5" t="s">
        <v>12</v>
      </c>
      <c r="D57" s="6">
        <f>2*D54</f>
        <v>6213.8756022308662</v>
      </c>
      <c r="E57" s="7">
        <v>0.1</v>
      </c>
      <c r="F57" s="6">
        <f t="shared" si="1"/>
        <v>6835.2631624539536</v>
      </c>
      <c r="G57" s="12" t="s">
        <v>9</v>
      </c>
      <c r="H57" s="5" t="s">
        <v>131</v>
      </c>
      <c r="I57" s="5" t="s">
        <v>213</v>
      </c>
    </row>
    <row r="58" spans="1:9" ht="42" customHeight="1">
      <c r="A58" s="5" t="s">
        <v>195</v>
      </c>
      <c r="B58" s="5" t="s">
        <v>214</v>
      </c>
      <c r="C58" s="5" t="s">
        <v>38</v>
      </c>
      <c r="D58" s="8">
        <v>14</v>
      </c>
      <c r="E58" s="7">
        <v>0</v>
      </c>
      <c r="F58" s="8">
        <f t="shared" si="1"/>
        <v>14</v>
      </c>
      <c r="G58" s="5" t="s">
        <v>215</v>
      </c>
      <c r="H58" s="5" t="s">
        <v>216</v>
      </c>
      <c r="I58" s="5" t="s">
        <v>217</v>
      </c>
    </row>
    <row r="59" spans="1:9" ht="42" customHeight="1">
      <c r="A59" s="9" t="s">
        <v>218</v>
      </c>
      <c r="B59" s="9" t="s">
        <v>219</v>
      </c>
      <c r="C59" s="9" t="s">
        <v>12</v>
      </c>
      <c r="D59" s="10">
        <f>Measurements!B38</f>
        <v>1580</v>
      </c>
      <c r="E59" s="11">
        <v>0.1</v>
      </c>
      <c r="F59" s="10">
        <f t="shared" si="1"/>
        <v>1738.0000000000002</v>
      </c>
      <c r="G59" s="18" t="s">
        <v>35</v>
      </c>
      <c r="H59" s="9" t="s">
        <v>124</v>
      </c>
      <c r="I59" s="9" t="s">
        <v>220</v>
      </c>
    </row>
    <row r="60" spans="1:9" ht="42" customHeight="1">
      <c r="A60" s="5" t="s">
        <v>218</v>
      </c>
      <c r="B60" s="5" t="s">
        <v>221</v>
      </c>
      <c r="C60" s="5" t="s">
        <v>12</v>
      </c>
      <c r="D60" s="6">
        <f>Measurements!B39</f>
        <v>275</v>
      </c>
      <c r="E60" s="7">
        <v>0.1</v>
      </c>
      <c r="F60" s="6">
        <f t="shared" si="1"/>
        <v>302.5</v>
      </c>
      <c r="G60" s="12" t="s">
        <v>35</v>
      </c>
      <c r="H60" s="5" t="s">
        <v>124</v>
      </c>
      <c r="I60" s="5" t="s">
        <v>222</v>
      </c>
    </row>
    <row r="61" spans="1:9" ht="42" customHeight="1">
      <c r="A61" s="14" t="s">
        <v>218</v>
      </c>
      <c r="B61" s="14" t="s">
        <v>223</v>
      </c>
      <c r="C61" s="14" t="s">
        <v>12</v>
      </c>
      <c r="D61" s="15">
        <f>D59+D60</f>
        <v>1855</v>
      </c>
      <c r="E61" s="16">
        <v>0.1</v>
      </c>
      <c r="F61" s="15">
        <f t="shared" si="1"/>
        <v>2040.5000000000002</v>
      </c>
      <c r="G61" s="17" t="s">
        <v>35</v>
      </c>
      <c r="H61" s="14" t="s">
        <v>124</v>
      </c>
      <c r="I61" s="14" t="s">
        <v>224</v>
      </c>
    </row>
    <row r="62" spans="1:9" ht="42" customHeight="1">
      <c r="A62" s="5" t="s">
        <v>218</v>
      </c>
      <c r="B62" s="5" t="s">
        <v>225</v>
      </c>
      <c r="C62" s="5" t="s">
        <v>12</v>
      </c>
      <c r="D62" s="6">
        <f>Measurements!B6</f>
        <v>420</v>
      </c>
      <c r="E62" s="7">
        <v>0</v>
      </c>
      <c r="F62" s="6">
        <f t="shared" si="1"/>
        <v>420</v>
      </c>
      <c r="G62" s="12" t="s">
        <v>173</v>
      </c>
      <c r="H62" s="5" t="s">
        <v>124</v>
      </c>
      <c r="I62" s="5" t="s">
        <v>226</v>
      </c>
    </row>
    <row r="63" spans="1:9" ht="42" customHeight="1">
      <c r="A63" s="5" t="s">
        <v>218</v>
      </c>
      <c r="B63" s="5" t="s">
        <v>227</v>
      </c>
      <c r="C63" s="5" t="s">
        <v>12</v>
      </c>
      <c r="D63" s="6">
        <f>Measurements!B7</f>
        <v>134</v>
      </c>
      <c r="E63" s="7">
        <v>0</v>
      </c>
      <c r="F63" s="6">
        <f t="shared" si="1"/>
        <v>134</v>
      </c>
      <c r="G63" s="12" t="s">
        <v>173</v>
      </c>
      <c r="H63" s="5" t="s">
        <v>102</v>
      </c>
      <c r="I63" s="5" t="s">
        <v>226</v>
      </c>
    </row>
    <row r="64" spans="1:9" ht="42" customHeight="1">
      <c r="A64" s="9" t="s">
        <v>228</v>
      </c>
      <c r="B64" s="9" t="s">
        <v>229</v>
      </c>
      <c r="C64" s="9" t="s">
        <v>38</v>
      </c>
      <c r="D64" s="19">
        <v>41</v>
      </c>
      <c r="E64" s="11">
        <v>0</v>
      </c>
      <c r="F64" s="19">
        <f t="shared" si="1"/>
        <v>41</v>
      </c>
      <c r="G64" s="9" t="s">
        <v>230</v>
      </c>
      <c r="H64" s="9" t="s">
        <v>231</v>
      </c>
      <c r="I64" s="9" t="s">
        <v>232</v>
      </c>
    </row>
    <row r="65" spans="1:9" ht="42" customHeight="1">
      <c r="A65" s="5" t="s">
        <v>228</v>
      </c>
      <c r="B65" s="5" t="s">
        <v>233</v>
      </c>
      <c r="C65" s="5" t="s">
        <v>38</v>
      </c>
      <c r="D65" s="8">
        <v>10</v>
      </c>
      <c r="E65" s="7">
        <v>0</v>
      </c>
      <c r="F65" s="8">
        <f t="shared" si="1"/>
        <v>10</v>
      </c>
      <c r="G65" s="5" t="s">
        <v>39</v>
      </c>
      <c r="H65" s="5" t="s">
        <v>231</v>
      </c>
      <c r="I65" s="5" t="s">
        <v>234</v>
      </c>
    </row>
    <row r="66" spans="1:9" ht="42" customHeight="1">
      <c r="A66" s="5" t="s">
        <v>228</v>
      </c>
      <c r="B66" s="5" t="s">
        <v>235</v>
      </c>
      <c r="C66" s="5" t="s">
        <v>38</v>
      </c>
      <c r="D66" s="8">
        <v>4</v>
      </c>
      <c r="E66" s="7">
        <v>0</v>
      </c>
      <c r="F66" s="8">
        <f t="shared" si="1"/>
        <v>4</v>
      </c>
      <c r="G66" s="5" t="s">
        <v>39</v>
      </c>
      <c r="H66" s="5" t="s">
        <v>231</v>
      </c>
      <c r="I66" s="5" t="s">
        <v>236</v>
      </c>
    </row>
    <row r="67" spans="1:9" ht="42" customHeight="1">
      <c r="A67" s="5" t="s">
        <v>228</v>
      </c>
      <c r="B67" s="5" t="s">
        <v>237</v>
      </c>
      <c r="C67" s="5" t="s">
        <v>38</v>
      </c>
      <c r="D67" s="8">
        <v>2</v>
      </c>
      <c r="E67" s="7">
        <v>0</v>
      </c>
      <c r="F67" s="8">
        <f t="shared" si="1"/>
        <v>2</v>
      </c>
      <c r="G67" s="5" t="s">
        <v>39</v>
      </c>
      <c r="H67" s="5" t="s">
        <v>231</v>
      </c>
      <c r="I67" s="5" t="s">
        <v>238</v>
      </c>
    </row>
    <row r="68" spans="1:9" ht="42" customHeight="1">
      <c r="A68" s="5" t="s">
        <v>228</v>
      </c>
      <c r="B68" s="5" t="s">
        <v>239</v>
      </c>
      <c r="C68" s="5" t="s">
        <v>38</v>
      </c>
      <c r="D68" s="8">
        <v>4</v>
      </c>
      <c r="E68" s="7">
        <v>0</v>
      </c>
      <c r="F68" s="8">
        <f t="shared" si="1"/>
        <v>4</v>
      </c>
      <c r="G68" s="5" t="s">
        <v>39</v>
      </c>
      <c r="H68" s="5" t="s">
        <v>231</v>
      </c>
      <c r="I68" s="5" t="s">
        <v>240</v>
      </c>
    </row>
    <row r="69" spans="1:9" ht="42" customHeight="1">
      <c r="A69" s="5" t="s">
        <v>228</v>
      </c>
      <c r="B69" s="5" t="s">
        <v>241</v>
      </c>
      <c r="C69" s="5" t="s">
        <v>38</v>
      </c>
      <c r="D69" s="8">
        <v>4</v>
      </c>
      <c r="E69" s="7">
        <v>0</v>
      </c>
      <c r="F69" s="8">
        <f t="shared" ref="F69:F100" si="2">D69*(1+E69)</f>
        <v>4</v>
      </c>
      <c r="G69" s="5" t="s">
        <v>39</v>
      </c>
      <c r="H69" s="5" t="s">
        <v>231</v>
      </c>
      <c r="I69" s="5" t="s">
        <v>242</v>
      </c>
    </row>
    <row r="70" spans="1:9" ht="42" customHeight="1">
      <c r="A70" s="5" t="s">
        <v>228</v>
      </c>
      <c r="B70" s="5" t="s">
        <v>243</v>
      </c>
      <c r="C70" s="5" t="s">
        <v>38</v>
      </c>
      <c r="D70" s="8">
        <v>63</v>
      </c>
      <c r="E70" s="7">
        <v>0</v>
      </c>
      <c r="F70" s="8">
        <f t="shared" si="2"/>
        <v>63</v>
      </c>
      <c r="G70" s="5" t="s">
        <v>244</v>
      </c>
      <c r="H70" s="5" t="s">
        <v>231</v>
      </c>
      <c r="I70" s="5" t="s">
        <v>245</v>
      </c>
    </row>
    <row r="71" spans="1:9" ht="42" customHeight="1">
      <c r="A71" s="5" t="s">
        <v>228</v>
      </c>
      <c r="B71" s="5" t="s">
        <v>246</v>
      </c>
      <c r="C71" s="5" t="s">
        <v>38</v>
      </c>
      <c r="D71" s="8">
        <v>40</v>
      </c>
      <c r="E71" s="7">
        <v>0</v>
      </c>
      <c r="F71" s="8">
        <f t="shared" si="2"/>
        <v>40</v>
      </c>
      <c r="G71" s="5" t="s">
        <v>39</v>
      </c>
      <c r="H71" s="5" t="s">
        <v>231</v>
      </c>
      <c r="I71" s="5" t="s">
        <v>247</v>
      </c>
    </row>
    <row r="72" spans="1:9" ht="42" customHeight="1">
      <c r="A72" s="5" t="s">
        <v>228</v>
      </c>
      <c r="B72" s="5" t="s">
        <v>248</v>
      </c>
      <c r="C72" s="5" t="s">
        <v>38</v>
      </c>
      <c r="D72" s="8">
        <v>4</v>
      </c>
      <c r="E72" s="7">
        <v>0</v>
      </c>
      <c r="F72" s="8">
        <f t="shared" si="2"/>
        <v>4</v>
      </c>
      <c r="G72" s="5" t="s">
        <v>39</v>
      </c>
      <c r="H72" s="5" t="s">
        <v>231</v>
      </c>
      <c r="I72" s="5" t="s">
        <v>249</v>
      </c>
    </row>
    <row r="73" spans="1:9" ht="42" customHeight="1">
      <c r="A73" s="5" t="s">
        <v>228</v>
      </c>
      <c r="B73" s="5" t="s">
        <v>250</v>
      </c>
      <c r="C73" s="5" t="s">
        <v>38</v>
      </c>
      <c r="D73" s="8">
        <v>1</v>
      </c>
      <c r="E73" s="7">
        <v>0</v>
      </c>
      <c r="F73" s="8">
        <f t="shared" si="2"/>
        <v>1</v>
      </c>
      <c r="G73" s="5" t="s">
        <v>39</v>
      </c>
      <c r="H73" s="5" t="s">
        <v>231</v>
      </c>
      <c r="I73" s="5" t="s">
        <v>251</v>
      </c>
    </row>
    <row r="74" spans="1:9" ht="42" customHeight="1">
      <c r="A74" s="5" t="s">
        <v>228</v>
      </c>
      <c r="B74" s="5" t="s">
        <v>252</v>
      </c>
      <c r="C74" s="5" t="s">
        <v>38</v>
      </c>
      <c r="D74" s="8">
        <v>1</v>
      </c>
      <c r="E74" s="7">
        <v>0</v>
      </c>
      <c r="F74" s="8">
        <f t="shared" si="2"/>
        <v>1</v>
      </c>
      <c r="G74" s="5" t="s">
        <v>39</v>
      </c>
      <c r="H74" s="5" t="s">
        <v>231</v>
      </c>
      <c r="I74" s="5" t="s">
        <v>253</v>
      </c>
    </row>
    <row r="75" spans="1:9" ht="42" customHeight="1">
      <c r="A75" s="5" t="s">
        <v>228</v>
      </c>
      <c r="B75" s="5" t="s">
        <v>254</v>
      </c>
      <c r="C75" s="5" t="s">
        <v>38</v>
      </c>
      <c r="D75" s="8">
        <v>4</v>
      </c>
      <c r="E75" s="7">
        <v>0</v>
      </c>
      <c r="F75" s="8">
        <f t="shared" si="2"/>
        <v>4</v>
      </c>
      <c r="G75" s="5" t="s">
        <v>39</v>
      </c>
      <c r="H75" s="5" t="s">
        <v>231</v>
      </c>
      <c r="I75" s="5" t="s">
        <v>242</v>
      </c>
    </row>
    <row r="76" spans="1:9" ht="42" customHeight="1">
      <c r="A76" s="5" t="s">
        <v>228</v>
      </c>
      <c r="B76" s="5" t="s">
        <v>255</v>
      </c>
      <c r="C76" s="5" t="s">
        <v>38</v>
      </c>
      <c r="D76" s="8">
        <v>3</v>
      </c>
      <c r="E76" s="7">
        <v>0</v>
      </c>
      <c r="F76" s="8">
        <f t="shared" si="2"/>
        <v>3</v>
      </c>
      <c r="G76" s="5" t="s">
        <v>39</v>
      </c>
      <c r="H76" s="5" t="s">
        <v>231</v>
      </c>
      <c r="I76" s="5" t="s">
        <v>256</v>
      </c>
    </row>
    <row r="77" spans="1:9" ht="42" customHeight="1">
      <c r="A77" s="5" t="s">
        <v>228</v>
      </c>
      <c r="B77" s="5" t="s">
        <v>257</v>
      </c>
      <c r="C77" s="5" t="s">
        <v>38</v>
      </c>
      <c r="D77" s="8">
        <v>6</v>
      </c>
      <c r="E77" s="7">
        <v>0</v>
      </c>
      <c r="F77" s="8">
        <f t="shared" si="2"/>
        <v>6</v>
      </c>
      <c r="G77" s="5" t="s">
        <v>39</v>
      </c>
      <c r="H77" s="5" t="s">
        <v>231</v>
      </c>
      <c r="I77" s="5" t="s">
        <v>258</v>
      </c>
    </row>
    <row r="78" spans="1:9" ht="42" customHeight="1">
      <c r="A78" s="5" t="s">
        <v>228</v>
      </c>
      <c r="B78" s="5" t="s">
        <v>259</v>
      </c>
      <c r="C78" s="5" t="s">
        <v>38</v>
      </c>
      <c r="D78" s="8">
        <v>8</v>
      </c>
      <c r="E78" s="7">
        <v>0</v>
      </c>
      <c r="F78" s="8">
        <f t="shared" si="2"/>
        <v>8</v>
      </c>
      <c r="G78" s="5" t="s">
        <v>39</v>
      </c>
      <c r="H78" s="5" t="s">
        <v>231</v>
      </c>
      <c r="I78" s="5" t="s">
        <v>260</v>
      </c>
    </row>
    <row r="79" spans="1:9" ht="42" customHeight="1">
      <c r="A79" s="5" t="s">
        <v>228</v>
      </c>
      <c r="B79" s="5" t="s">
        <v>261</v>
      </c>
      <c r="C79" s="5" t="s">
        <v>38</v>
      </c>
      <c r="D79" s="8">
        <v>4</v>
      </c>
      <c r="E79" s="7">
        <v>0</v>
      </c>
      <c r="F79" s="8">
        <f t="shared" si="2"/>
        <v>4</v>
      </c>
      <c r="G79" s="5" t="s">
        <v>39</v>
      </c>
      <c r="H79" s="5" t="s">
        <v>231</v>
      </c>
      <c r="I79" s="5" t="s">
        <v>262</v>
      </c>
    </row>
    <row r="80" spans="1:9" ht="42" customHeight="1">
      <c r="A80" s="5" t="s">
        <v>228</v>
      </c>
      <c r="B80" s="5" t="s">
        <v>263</v>
      </c>
      <c r="C80" s="5" t="s">
        <v>38</v>
      </c>
      <c r="D80" s="8">
        <v>14</v>
      </c>
      <c r="E80" s="7">
        <v>0</v>
      </c>
      <c r="F80" s="8">
        <f t="shared" si="2"/>
        <v>14</v>
      </c>
      <c r="G80" s="5" t="s">
        <v>39</v>
      </c>
      <c r="H80" s="5" t="s">
        <v>231</v>
      </c>
      <c r="I80" s="5" t="s">
        <v>264</v>
      </c>
    </row>
    <row r="81" spans="1:9" ht="42" customHeight="1">
      <c r="A81" s="5" t="s">
        <v>228</v>
      </c>
      <c r="B81" s="5" t="s">
        <v>265</v>
      </c>
      <c r="C81" s="5" t="s">
        <v>38</v>
      </c>
      <c r="D81" s="8">
        <v>5</v>
      </c>
      <c r="E81" s="7">
        <v>0</v>
      </c>
      <c r="F81" s="8">
        <f t="shared" si="2"/>
        <v>5</v>
      </c>
      <c r="G81" s="5" t="s">
        <v>39</v>
      </c>
      <c r="H81" s="5" t="s">
        <v>231</v>
      </c>
      <c r="I81" s="5" t="s">
        <v>266</v>
      </c>
    </row>
    <row r="82" spans="1:9" ht="42" customHeight="1">
      <c r="A82" s="5" t="s">
        <v>228</v>
      </c>
      <c r="B82" s="5" t="s">
        <v>267</v>
      </c>
      <c r="C82" s="5" t="s">
        <v>38</v>
      </c>
      <c r="D82" s="8">
        <v>2</v>
      </c>
      <c r="E82" s="7">
        <v>0</v>
      </c>
      <c r="F82" s="8">
        <f t="shared" si="2"/>
        <v>2</v>
      </c>
      <c r="G82" s="5" t="s">
        <v>39</v>
      </c>
      <c r="H82" s="5" t="s">
        <v>231</v>
      </c>
      <c r="I82" s="5" t="s">
        <v>268</v>
      </c>
    </row>
    <row r="83" spans="1:9" ht="42" customHeight="1">
      <c r="A83" s="5" t="s">
        <v>228</v>
      </c>
      <c r="B83" s="5" t="s">
        <v>269</v>
      </c>
      <c r="C83" s="5" t="s">
        <v>38</v>
      </c>
      <c r="D83" s="8">
        <v>1</v>
      </c>
      <c r="E83" s="7">
        <v>0</v>
      </c>
      <c r="F83" s="8">
        <f t="shared" si="2"/>
        <v>1</v>
      </c>
      <c r="G83" s="5" t="s">
        <v>48</v>
      </c>
      <c r="H83" s="5" t="s">
        <v>270</v>
      </c>
      <c r="I83" s="5" t="s">
        <v>271</v>
      </c>
    </row>
    <row r="84" spans="1:9" ht="42" customHeight="1">
      <c r="A84" s="5" t="s">
        <v>228</v>
      </c>
      <c r="B84" s="5" t="s">
        <v>272</v>
      </c>
      <c r="C84" s="5" t="s">
        <v>38</v>
      </c>
      <c r="D84" s="8">
        <v>1</v>
      </c>
      <c r="E84" s="7">
        <v>0</v>
      </c>
      <c r="F84" s="8">
        <f t="shared" si="2"/>
        <v>1</v>
      </c>
      <c r="G84" s="5" t="s">
        <v>48</v>
      </c>
      <c r="H84" s="5" t="s">
        <v>231</v>
      </c>
      <c r="I84" s="5" t="s">
        <v>273</v>
      </c>
    </row>
    <row r="85" spans="1:9" ht="42" customHeight="1">
      <c r="A85" s="5" t="s">
        <v>228</v>
      </c>
      <c r="B85" s="5" t="s">
        <v>274</v>
      </c>
      <c r="C85" s="5" t="s">
        <v>38</v>
      </c>
      <c r="D85" s="8">
        <v>3</v>
      </c>
      <c r="E85" s="7">
        <v>0</v>
      </c>
      <c r="F85" s="8">
        <f t="shared" si="2"/>
        <v>3</v>
      </c>
      <c r="G85" s="12" t="s">
        <v>35</v>
      </c>
      <c r="H85" s="5" t="s">
        <v>270</v>
      </c>
      <c r="I85" s="5" t="s">
        <v>275</v>
      </c>
    </row>
    <row r="86" spans="1:9" ht="42" customHeight="1">
      <c r="A86" s="5" t="s">
        <v>228</v>
      </c>
      <c r="B86" s="5" t="s">
        <v>276</v>
      </c>
      <c r="C86" s="5" t="s">
        <v>51</v>
      </c>
      <c r="D86" s="8">
        <v>1</v>
      </c>
      <c r="E86" s="7">
        <v>0</v>
      </c>
      <c r="F86" s="8">
        <f t="shared" si="2"/>
        <v>1</v>
      </c>
      <c r="G86" s="5" t="s">
        <v>277</v>
      </c>
      <c r="H86" s="5" t="s">
        <v>278</v>
      </c>
      <c r="I86" s="5" t="s">
        <v>279</v>
      </c>
    </row>
    <row r="87" spans="1:9" ht="42" customHeight="1">
      <c r="A87" s="5" t="s">
        <v>228</v>
      </c>
      <c r="B87" s="5" t="s">
        <v>280</v>
      </c>
      <c r="C87" s="5" t="s">
        <v>8</v>
      </c>
      <c r="D87" s="6"/>
      <c r="E87" s="7">
        <v>0</v>
      </c>
      <c r="F87" s="6"/>
      <c r="G87" s="12" t="s">
        <v>281</v>
      </c>
      <c r="H87" s="5" t="s">
        <v>231</v>
      </c>
      <c r="I87" s="5" t="s">
        <v>282</v>
      </c>
    </row>
    <row r="88" spans="1:9" ht="42" customHeight="1">
      <c r="A88" s="9" t="s">
        <v>283</v>
      </c>
      <c r="B88" s="9" t="s">
        <v>284</v>
      </c>
      <c r="C88" s="9" t="s">
        <v>38</v>
      </c>
      <c r="D88" s="19">
        <v>2</v>
      </c>
      <c r="E88" s="11">
        <v>0</v>
      </c>
      <c r="F88" s="19">
        <f t="shared" ref="F88:F118" si="3">D88*(1+E88)</f>
        <v>2</v>
      </c>
      <c r="G88" s="9" t="s">
        <v>39</v>
      </c>
      <c r="H88" s="9" t="s">
        <v>124</v>
      </c>
      <c r="I88" s="9" t="s">
        <v>285</v>
      </c>
    </row>
    <row r="89" spans="1:9" ht="42" customHeight="1">
      <c r="A89" s="5" t="s">
        <v>283</v>
      </c>
      <c r="B89" s="5" t="s">
        <v>286</v>
      </c>
      <c r="C89" s="5" t="s">
        <v>38</v>
      </c>
      <c r="D89" s="8">
        <v>4</v>
      </c>
      <c r="E89" s="7">
        <v>0</v>
      </c>
      <c r="F89" s="8">
        <f t="shared" si="3"/>
        <v>4</v>
      </c>
      <c r="G89" s="5" t="s">
        <v>39</v>
      </c>
      <c r="H89" s="5" t="s">
        <v>124</v>
      </c>
      <c r="I89" s="5" t="s">
        <v>287</v>
      </c>
    </row>
    <row r="90" spans="1:9" ht="42" customHeight="1">
      <c r="A90" s="5" t="s">
        <v>283</v>
      </c>
      <c r="B90" s="5" t="s">
        <v>288</v>
      </c>
      <c r="C90" s="5" t="s">
        <v>38</v>
      </c>
      <c r="D90" s="8">
        <v>1</v>
      </c>
      <c r="E90" s="7">
        <v>0</v>
      </c>
      <c r="F90" s="8">
        <f t="shared" si="3"/>
        <v>1</v>
      </c>
      <c r="G90" s="5" t="s">
        <v>39</v>
      </c>
      <c r="H90" s="5" t="s">
        <v>124</v>
      </c>
      <c r="I90" s="5" t="s">
        <v>289</v>
      </c>
    </row>
    <row r="91" spans="1:9" ht="42" customHeight="1">
      <c r="A91" s="5" t="s">
        <v>283</v>
      </c>
      <c r="B91" s="5" t="s">
        <v>290</v>
      </c>
      <c r="C91" s="5" t="s">
        <v>38</v>
      </c>
      <c r="D91" s="8">
        <v>1</v>
      </c>
      <c r="E91" s="7">
        <v>0</v>
      </c>
      <c r="F91" s="8">
        <f t="shared" si="3"/>
        <v>1</v>
      </c>
      <c r="G91" s="5" t="s">
        <v>39</v>
      </c>
      <c r="H91" s="5" t="s">
        <v>124</v>
      </c>
      <c r="I91" s="5" t="s">
        <v>291</v>
      </c>
    </row>
    <row r="92" spans="1:9" ht="42" customHeight="1">
      <c r="A92" s="5" t="s">
        <v>283</v>
      </c>
      <c r="B92" s="5" t="s">
        <v>292</v>
      </c>
      <c r="C92" s="5" t="s">
        <v>38</v>
      </c>
      <c r="D92" s="8">
        <v>1</v>
      </c>
      <c r="E92" s="7">
        <v>0</v>
      </c>
      <c r="F92" s="8">
        <f t="shared" si="3"/>
        <v>1</v>
      </c>
      <c r="G92" s="5" t="s">
        <v>39</v>
      </c>
      <c r="H92" s="5" t="s">
        <v>124</v>
      </c>
      <c r="I92" s="5" t="s">
        <v>293</v>
      </c>
    </row>
    <row r="93" spans="1:9" ht="42" customHeight="1">
      <c r="A93" s="5" t="s">
        <v>283</v>
      </c>
      <c r="B93" s="5" t="s">
        <v>294</v>
      </c>
      <c r="C93" s="5" t="s">
        <v>38</v>
      </c>
      <c r="D93" s="8">
        <v>1</v>
      </c>
      <c r="E93" s="7">
        <v>0</v>
      </c>
      <c r="F93" s="8">
        <f t="shared" si="3"/>
        <v>1</v>
      </c>
      <c r="G93" s="5" t="s">
        <v>39</v>
      </c>
      <c r="H93" s="5" t="s">
        <v>124</v>
      </c>
      <c r="I93" s="5" t="s">
        <v>295</v>
      </c>
    </row>
    <row r="94" spans="1:9" ht="42" customHeight="1">
      <c r="A94" s="5" t="s">
        <v>283</v>
      </c>
      <c r="B94" s="5" t="s">
        <v>296</v>
      </c>
      <c r="C94" s="5" t="s">
        <v>38</v>
      </c>
      <c r="D94" s="8">
        <v>1</v>
      </c>
      <c r="E94" s="7">
        <v>0</v>
      </c>
      <c r="F94" s="8">
        <f t="shared" si="3"/>
        <v>1</v>
      </c>
      <c r="G94" s="5" t="s">
        <v>39</v>
      </c>
      <c r="H94" s="5" t="s">
        <v>124</v>
      </c>
      <c r="I94" s="5" t="s">
        <v>297</v>
      </c>
    </row>
    <row r="95" spans="1:9" ht="42" customHeight="1">
      <c r="A95" s="5" t="s">
        <v>283</v>
      </c>
      <c r="B95" s="5" t="s">
        <v>298</v>
      </c>
      <c r="C95" s="5" t="s">
        <v>38</v>
      </c>
      <c r="D95" s="8">
        <v>1</v>
      </c>
      <c r="E95" s="7">
        <v>0</v>
      </c>
      <c r="F95" s="8">
        <f t="shared" si="3"/>
        <v>1</v>
      </c>
      <c r="G95" s="5" t="s">
        <v>39</v>
      </c>
      <c r="H95" s="5" t="s">
        <v>124</v>
      </c>
      <c r="I95" s="5" t="s">
        <v>299</v>
      </c>
    </row>
    <row r="96" spans="1:9" ht="42" customHeight="1">
      <c r="A96" s="5" t="s">
        <v>283</v>
      </c>
      <c r="B96" s="5" t="s">
        <v>47</v>
      </c>
      <c r="C96" s="5" t="s">
        <v>38</v>
      </c>
      <c r="D96" s="8">
        <v>1</v>
      </c>
      <c r="E96" s="7">
        <v>0</v>
      </c>
      <c r="F96" s="8">
        <f t="shared" si="3"/>
        <v>1</v>
      </c>
      <c r="G96" s="5" t="s">
        <v>48</v>
      </c>
      <c r="H96" s="5" t="s">
        <v>300</v>
      </c>
      <c r="I96" s="5" t="s">
        <v>301</v>
      </c>
    </row>
    <row r="97" spans="1:9" ht="42" customHeight="1">
      <c r="A97" s="5" t="s">
        <v>283</v>
      </c>
      <c r="B97" s="5" t="s">
        <v>302</v>
      </c>
      <c r="C97" s="5" t="s">
        <v>38</v>
      </c>
      <c r="D97" s="8">
        <v>2</v>
      </c>
      <c r="E97" s="7">
        <v>0</v>
      </c>
      <c r="F97" s="8">
        <f t="shared" si="3"/>
        <v>2</v>
      </c>
      <c r="G97" s="12" t="s">
        <v>35</v>
      </c>
      <c r="H97" s="5" t="s">
        <v>303</v>
      </c>
      <c r="I97" s="5" t="s">
        <v>304</v>
      </c>
    </row>
    <row r="98" spans="1:9" ht="42" customHeight="1">
      <c r="A98" s="5" t="s">
        <v>283</v>
      </c>
      <c r="B98" s="5" t="s">
        <v>305</v>
      </c>
      <c r="C98" s="5" t="s">
        <v>8</v>
      </c>
      <c r="D98" s="6">
        <v>250</v>
      </c>
      <c r="E98" s="7">
        <v>0.1</v>
      </c>
      <c r="F98" s="6">
        <f t="shared" si="3"/>
        <v>275</v>
      </c>
      <c r="G98" s="12" t="s">
        <v>306</v>
      </c>
      <c r="H98" s="5" t="s">
        <v>124</v>
      </c>
      <c r="I98" s="5" t="s">
        <v>307</v>
      </c>
    </row>
    <row r="99" spans="1:9" ht="42" customHeight="1">
      <c r="A99" s="5" t="s">
        <v>283</v>
      </c>
      <c r="B99" s="5" t="s">
        <v>308</v>
      </c>
      <c r="C99" s="5" t="s">
        <v>8</v>
      </c>
      <c r="D99" s="6">
        <v>175</v>
      </c>
      <c r="E99" s="7">
        <v>0.1</v>
      </c>
      <c r="F99" s="6">
        <f t="shared" si="3"/>
        <v>192.50000000000003</v>
      </c>
      <c r="G99" s="12" t="s">
        <v>306</v>
      </c>
      <c r="H99" s="5" t="s">
        <v>124</v>
      </c>
      <c r="I99" s="5" t="s">
        <v>309</v>
      </c>
    </row>
    <row r="100" spans="1:9" ht="42" customHeight="1">
      <c r="A100" s="5" t="s">
        <v>283</v>
      </c>
      <c r="B100" s="5" t="s">
        <v>310</v>
      </c>
      <c r="C100" s="5" t="s">
        <v>8</v>
      </c>
      <c r="D100" s="6">
        <v>75</v>
      </c>
      <c r="E100" s="7">
        <v>0.1</v>
      </c>
      <c r="F100" s="6">
        <f t="shared" si="3"/>
        <v>82.5</v>
      </c>
      <c r="G100" s="12" t="s">
        <v>306</v>
      </c>
      <c r="H100" s="5" t="s">
        <v>311</v>
      </c>
      <c r="I100" s="5" t="s">
        <v>312</v>
      </c>
    </row>
    <row r="101" spans="1:9" ht="42" customHeight="1">
      <c r="A101" s="5" t="s">
        <v>283</v>
      </c>
      <c r="B101" s="5" t="s">
        <v>313</v>
      </c>
      <c r="C101" s="5" t="s">
        <v>8</v>
      </c>
      <c r="D101" s="6">
        <v>250</v>
      </c>
      <c r="E101" s="7">
        <v>0.1</v>
      </c>
      <c r="F101" s="6">
        <f t="shared" si="3"/>
        <v>275</v>
      </c>
      <c r="G101" s="12" t="s">
        <v>306</v>
      </c>
      <c r="H101" s="5" t="s">
        <v>124</v>
      </c>
      <c r="I101" s="5" t="s">
        <v>314</v>
      </c>
    </row>
    <row r="102" spans="1:9" ht="42" customHeight="1">
      <c r="A102" s="5" t="s">
        <v>283</v>
      </c>
      <c r="B102" s="5" t="s">
        <v>315</v>
      </c>
      <c r="C102" s="5" t="s">
        <v>316</v>
      </c>
      <c r="D102" s="8">
        <v>1</v>
      </c>
      <c r="E102" s="7">
        <v>0</v>
      </c>
      <c r="F102" s="8">
        <f t="shared" si="3"/>
        <v>1</v>
      </c>
      <c r="G102" s="5" t="s">
        <v>317</v>
      </c>
      <c r="H102" s="5" t="s">
        <v>318</v>
      </c>
      <c r="I102" s="5" t="s">
        <v>319</v>
      </c>
    </row>
    <row r="103" spans="1:9" ht="42" customHeight="1">
      <c r="A103" s="5" t="s">
        <v>283</v>
      </c>
      <c r="B103" s="5" t="s">
        <v>320</v>
      </c>
      <c r="C103" s="5" t="s">
        <v>51</v>
      </c>
      <c r="D103" s="8">
        <v>1</v>
      </c>
      <c r="E103" s="7">
        <v>0</v>
      </c>
      <c r="F103" s="8">
        <f t="shared" si="3"/>
        <v>1</v>
      </c>
      <c r="G103" s="5" t="s">
        <v>317</v>
      </c>
      <c r="H103" s="5" t="s">
        <v>300</v>
      </c>
      <c r="I103" s="5" t="s">
        <v>321</v>
      </c>
    </row>
    <row r="104" spans="1:9" ht="42" customHeight="1">
      <c r="A104" s="5" t="s">
        <v>283</v>
      </c>
      <c r="B104" s="5" t="s">
        <v>322</v>
      </c>
      <c r="C104" s="5" t="s">
        <v>51</v>
      </c>
      <c r="D104" s="8">
        <v>1</v>
      </c>
      <c r="E104" s="7">
        <v>0</v>
      </c>
      <c r="F104" s="8">
        <f t="shared" si="3"/>
        <v>1</v>
      </c>
      <c r="G104" s="5" t="s">
        <v>48</v>
      </c>
      <c r="H104" s="5" t="s">
        <v>323</v>
      </c>
      <c r="I104" s="5" t="s">
        <v>324</v>
      </c>
    </row>
    <row r="105" spans="1:9" ht="42" customHeight="1">
      <c r="A105" s="9" t="s">
        <v>325</v>
      </c>
      <c r="B105" s="9" t="s">
        <v>326</v>
      </c>
      <c r="C105" s="9" t="s">
        <v>38</v>
      </c>
      <c r="D105" s="19">
        <v>1</v>
      </c>
      <c r="E105" s="11">
        <v>0</v>
      </c>
      <c r="F105" s="19">
        <f t="shared" si="3"/>
        <v>1</v>
      </c>
      <c r="G105" s="9" t="s">
        <v>48</v>
      </c>
      <c r="H105" s="9" t="s">
        <v>300</v>
      </c>
      <c r="I105" s="9" t="s">
        <v>327</v>
      </c>
    </row>
    <row r="106" spans="1:9" ht="42" customHeight="1">
      <c r="A106" s="5" t="s">
        <v>325</v>
      </c>
      <c r="B106" s="5" t="s">
        <v>328</v>
      </c>
      <c r="C106" s="5" t="s">
        <v>38</v>
      </c>
      <c r="D106" s="8">
        <v>1</v>
      </c>
      <c r="E106" s="7">
        <v>0</v>
      </c>
      <c r="F106" s="8">
        <f t="shared" si="3"/>
        <v>1</v>
      </c>
      <c r="G106" s="5" t="s">
        <v>48</v>
      </c>
      <c r="H106" s="5" t="s">
        <v>124</v>
      </c>
      <c r="I106" s="5" t="s">
        <v>329</v>
      </c>
    </row>
    <row r="107" spans="1:9" ht="42" customHeight="1">
      <c r="A107" s="5" t="s">
        <v>325</v>
      </c>
      <c r="B107" s="5" t="s">
        <v>330</v>
      </c>
      <c r="C107" s="5" t="s">
        <v>38</v>
      </c>
      <c r="D107" s="8">
        <v>4</v>
      </c>
      <c r="E107" s="7">
        <v>0</v>
      </c>
      <c r="F107" s="8">
        <f t="shared" si="3"/>
        <v>4</v>
      </c>
      <c r="G107" s="5" t="s">
        <v>39</v>
      </c>
      <c r="H107" s="5" t="s">
        <v>331</v>
      </c>
      <c r="I107" s="5" t="s">
        <v>332</v>
      </c>
    </row>
    <row r="108" spans="1:9" ht="42" customHeight="1">
      <c r="A108" s="5" t="s">
        <v>325</v>
      </c>
      <c r="B108" s="5" t="s">
        <v>333</v>
      </c>
      <c r="C108" s="5" t="s">
        <v>38</v>
      </c>
      <c r="D108" s="8">
        <v>1</v>
      </c>
      <c r="E108" s="7">
        <v>0</v>
      </c>
      <c r="F108" s="8">
        <f t="shared" si="3"/>
        <v>1</v>
      </c>
      <c r="G108" s="5" t="s">
        <v>48</v>
      </c>
      <c r="H108" s="5" t="s">
        <v>334</v>
      </c>
      <c r="I108" s="5" t="s">
        <v>335</v>
      </c>
    </row>
    <row r="109" spans="1:9" ht="42" customHeight="1">
      <c r="A109" s="5" t="s">
        <v>325</v>
      </c>
      <c r="B109" s="5" t="s">
        <v>336</v>
      </c>
      <c r="C109" s="5" t="s">
        <v>51</v>
      </c>
      <c r="D109" s="8">
        <v>1</v>
      </c>
      <c r="E109" s="7">
        <v>0</v>
      </c>
      <c r="F109" s="8">
        <f t="shared" si="3"/>
        <v>1</v>
      </c>
      <c r="G109" s="5" t="s">
        <v>48</v>
      </c>
      <c r="H109" s="5" t="s">
        <v>337</v>
      </c>
      <c r="I109" s="5" t="s">
        <v>338</v>
      </c>
    </row>
    <row r="110" spans="1:9" ht="42" customHeight="1">
      <c r="A110" s="5" t="s">
        <v>325</v>
      </c>
      <c r="B110" s="5" t="s">
        <v>339</v>
      </c>
      <c r="C110" s="5" t="s">
        <v>8</v>
      </c>
      <c r="D110" s="6">
        <v>200</v>
      </c>
      <c r="E110" s="7">
        <v>0.1</v>
      </c>
      <c r="F110" s="6">
        <f t="shared" si="3"/>
        <v>220.00000000000003</v>
      </c>
      <c r="G110" s="12" t="s">
        <v>306</v>
      </c>
      <c r="H110" s="5" t="s">
        <v>340</v>
      </c>
      <c r="I110" s="5" t="s">
        <v>341</v>
      </c>
    </row>
    <row r="111" spans="1:9" ht="42" customHeight="1">
      <c r="A111" s="5" t="s">
        <v>325</v>
      </c>
      <c r="B111" s="5" t="s">
        <v>342</v>
      </c>
      <c r="C111" s="5" t="s">
        <v>8</v>
      </c>
      <c r="D111" s="6">
        <v>30</v>
      </c>
      <c r="E111" s="7">
        <v>0.1</v>
      </c>
      <c r="F111" s="6">
        <f t="shared" si="3"/>
        <v>33</v>
      </c>
      <c r="G111" s="12" t="s">
        <v>306</v>
      </c>
      <c r="H111" s="5" t="s">
        <v>340</v>
      </c>
      <c r="I111" s="5" t="s">
        <v>343</v>
      </c>
    </row>
    <row r="112" spans="1:9" ht="42" customHeight="1">
      <c r="A112" s="5" t="s">
        <v>325</v>
      </c>
      <c r="B112" s="5" t="s">
        <v>344</v>
      </c>
      <c r="C112" s="5" t="s">
        <v>38</v>
      </c>
      <c r="D112" s="8">
        <v>10</v>
      </c>
      <c r="E112" s="7">
        <v>0</v>
      </c>
      <c r="F112" s="8">
        <f t="shared" si="3"/>
        <v>10</v>
      </c>
      <c r="G112" s="12" t="s">
        <v>35</v>
      </c>
      <c r="H112" s="5" t="s">
        <v>124</v>
      </c>
      <c r="I112" s="5" t="s">
        <v>345</v>
      </c>
    </row>
    <row r="113" spans="1:9" ht="42" customHeight="1">
      <c r="A113" s="5" t="s">
        <v>325</v>
      </c>
      <c r="B113" s="5" t="s">
        <v>346</v>
      </c>
      <c r="C113" s="5" t="s">
        <v>38</v>
      </c>
      <c r="D113" s="8">
        <v>1</v>
      </c>
      <c r="E113" s="7">
        <v>0</v>
      </c>
      <c r="F113" s="8">
        <f t="shared" si="3"/>
        <v>1</v>
      </c>
      <c r="G113" s="5" t="s">
        <v>39</v>
      </c>
      <c r="H113" s="5" t="s">
        <v>124</v>
      </c>
      <c r="I113" s="5" t="s">
        <v>347</v>
      </c>
    </row>
    <row r="114" spans="1:9" ht="42" customHeight="1">
      <c r="A114" s="5" t="s">
        <v>325</v>
      </c>
      <c r="B114" s="5" t="s">
        <v>348</v>
      </c>
      <c r="C114" s="5" t="s">
        <v>8</v>
      </c>
      <c r="D114" s="6">
        <v>60</v>
      </c>
      <c r="E114" s="7">
        <v>0.1</v>
      </c>
      <c r="F114" s="6">
        <f t="shared" si="3"/>
        <v>66</v>
      </c>
      <c r="G114" s="12" t="s">
        <v>306</v>
      </c>
      <c r="H114" s="5" t="s">
        <v>231</v>
      </c>
      <c r="I114" s="5" t="s">
        <v>349</v>
      </c>
    </row>
    <row r="115" spans="1:9" ht="42" customHeight="1">
      <c r="A115" s="5" t="s">
        <v>325</v>
      </c>
      <c r="B115" s="5" t="s">
        <v>350</v>
      </c>
      <c r="C115" s="5" t="s">
        <v>8</v>
      </c>
      <c r="D115" s="6">
        <v>15</v>
      </c>
      <c r="E115" s="7">
        <v>0.1</v>
      </c>
      <c r="F115" s="6">
        <f t="shared" si="3"/>
        <v>16.5</v>
      </c>
      <c r="G115" s="12" t="s">
        <v>306</v>
      </c>
      <c r="H115" s="5" t="s">
        <v>124</v>
      </c>
      <c r="I115" s="5" t="s">
        <v>351</v>
      </c>
    </row>
    <row r="116" spans="1:9" ht="42" customHeight="1">
      <c r="A116" s="5" t="s">
        <v>325</v>
      </c>
      <c r="B116" s="5" t="s">
        <v>352</v>
      </c>
      <c r="C116" s="5" t="s">
        <v>8</v>
      </c>
      <c r="D116" s="6">
        <v>14</v>
      </c>
      <c r="E116" s="7">
        <v>0</v>
      </c>
      <c r="F116" s="6">
        <f t="shared" si="3"/>
        <v>14</v>
      </c>
      <c r="G116" s="12" t="s">
        <v>353</v>
      </c>
      <c r="H116" s="5" t="s">
        <v>337</v>
      </c>
      <c r="I116" s="5" t="s">
        <v>354</v>
      </c>
    </row>
    <row r="117" spans="1:9" ht="42" customHeight="1">
      <c r="A117" s="5" t="s">
        <v>325</v>
      </c>
      <c r="B117" s="5" t="s">
        <v>355</v>
      </c>
      <c r="C117" s="5" t="s">
        <v>8</v>
      </c>
      <c r="D117" s="6">
        <v>50</v>
      </c>
      <c r="E117" s="7">
        <v>0.1</v>
      </c>
      <c r="F117" s="6">
        <f t="shared" si="3"/>
        <v>55.000000000000007</v>
      </c>
      <c r="G117" s="12" t="s">
        <v>306</v>
      </c>
      <c r="H117" s="5" t="s">
        <v>124</v>
      </c>
      <c r="I117" s="5" t="s">
        <v>356</v>
      </c>
    </row>
    <row r="118" spans="1:9" ht="42" customHeight="1">
      <c r="A118" s="5" t="s">
        <v>325</v>
      </c>
      <c r="B118" s="5" t="s">
        <v>357</v>
      </c>
      <c r="C118" s="5" t="s">
        <v>8</v>
      </c>
      <c r="D118" s="6">
        <v>40</v>
      </c>
      <c r="E118" s="7">
        <v>0.1</v>
      </c>
      <c r="F118" s="6">
        <f t="shared" si="3"/>
        <v>44</v>
      </c>
      <c r="G118" s="12" t="s">
        <v>306</v>
      </c>
      <c r="H118" s="5" t="s">
        <v>278</v>
      </c>
      <c r="I118" s="5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48" customWidth="1"/>
    <col min="2" max="2" width="16" customWidth="1"/>
    <col min="3" max="3" width="10" customWidth="1"/>
    <col min="4" max="4" width="29" customWidth="1"/>
    <col min="5" max="5" width="25" customWidth="1"/>
    <col min="6" max="6" width="80" customWidth="1"/>
  </cols>
  <sheetData>
    <row r="1" spans="1:6" ht="27.95" customHeight="1">
      <c r="A1" s="2" t="s">
        <v>359</v>
      </c>
      <c r="B1" s="1"/>
      <c r="C1" s="1"/>
      <c r="D1" s="1"/>
      <c r="E1" s="1"/>
      <c r="F1" s="1"/>
    </row>
    <row r="2" spans="1:6" ht="26.1" customHeight="1">
      <c r="A2" s="3" t="s">
        <v>360</v>
      </c>
      <c r="B2" s="1"/>
      <c r="C2" s="1"/>
      <c r="D2" s="1"/>
      <c r="E2" s="1"/>
      <c r="F2" s="1"/>
    </row>
    <row r="3" spans="1:6" ht="42" customHeight="1">
      <c r="A3" s="1"/>
      <c r="B3" s="1"/>
      <c r="C3" s="1"/>
      <c r="D3" s="1"/>
      <c r="E3" s="1"/>
      <c r="F3" s="1"/>
    </row>
    <row r="4" spans="1:6" ht="42" customHeight="1">
      <c r="A4" s="4" t="s">
        <v>361</v>
      </c>
      <c r="B4" s="4" t="s">
        <v>362</v>
      </c>
      <c r="C4" s="4" t="s">
        <v>4</v>
      </c>
      <c r="D4" s="4" t="s">
        <v>78</v>
      </c>
      <c r="E4" s="4" t="s">
        <v>5</v>
      </c>
      <c r="F4" s="4" t="s">
        <v>363</v>
      </c>
    </row>
    <row r="5" spans="1:6" ht="42" customHeight="1">
      <c r="A5" s="5" t="s">
        <v>364</v>
      </c>
      <c r="B5" s="20">
        <v>2006</v>
      </c>
      <c r="C5" s="5" t="s">
        <v>12</v>
      </c>
      <c r="D5" s="5" t="s">
        <v>365</v>
      </c>
      <c r="E5" s="5" t="s">
        <v>13</v>
      </c>
      <c r="F5" s="5" t="s">
        <v>366</v>
      </c>
    </row>
    <row r="6" spans="1:6" ht="42" customHeight="1">
      <c r="A6" s="5" t="s">
        <v>367</v>
      </c>
      <c r="B6" s="20">
        <v>420</v>
      </c>
      <c r="C6" s="5" t="s">
        <v>12</v>
      </c>
      <c r="D6" s="5" t="s">
        <v>365</v>
      </c>
      <c r="E6" s="5" t="s">
        <v>13</v>
      </c>
      <c r="F6" s="5" t="s">
        <v>368</v>
      </c>
    </row>
    <row r="7" spans="1:6" ht="42" customHeight="1">
      <c r="A7" s="5" t="s">
        <v>369</v>
      </c>
      <c r="B7" s="20">
        <v>134</v>
      </c>
      <c r="C7" s="5" t="s">
        <v>12</v>
      </c>
      <c r="D7" s="5" t="s">
        <v>102</v>
      </c>
      <c r="E7" s="5" t="s">
        <v>13</v>
      </c>
      <c r="F7" s="5" t="s">
        <v>370</v>
      </c>
    </row>
    <row r="8" spans="1:6" ht="42" customHeight="1">
      <c r="A8" s="5" t="s">
        <v>371</v>
      </c>
      <c r="B8" s="20">
        <v>68</v>
      </c>
      <c r="C8" s="5" t="s">
        <v>372</v>
      </c>
      <c r="D8" s="5" t="s">
        <v>124</v>
      </c>
      <c r="E8" s="5" t="s">
        <v>373</v>
      </c>
      <c r="F8" s="5" t="s">
        <v>374</v>
      </c>
    </row>
    <row r="9" spans="1:6" ht="42" customHeight="1">
      <c r="A9" s="5" t="s">
        <v>375</v>
      </c>
      <c r="B9" s="20">
        <v>32.833333333333336</v>
      </c>
      <c r="C9" s="5" t="s">
        <v>372</v>
      </c>
      <c r="D9" s="5" t="s">
        <v>124</v>
      </c>
      <c r="E9" s="5" t="s">
        <v>373</v>
      </c>
      <c r="F9" s="5" t="s">
        <v>376</v>
      </c>
    </row>
    <row r="10" spans="1:6" ht="42" customHeight="1">
      <c r="A10" s="5" t="s">
        <v>377</v>
      </c>
      <c r="B10" s="20">
        <v>9</v>
      </c>
      <c r="C10" s="5" t="s">
        <v>372</v>
      </c>
      <c r="D10" s="5" t="s">
        <v>121</v>
      </c>
      <c r="E10" s="5" t="s">
        <v>373</v>
      </c>
      <c r="F10" s="5" t="s">
        <v>378</v>
      </c>
    </row>
    <row r="11" spans="1:6" ht="42" customHeight="1">
      <c r="A11" s="5" t="s">
        <v>379</v>
      </c>
      <c r="B11" s="20">
        <f>2*(B8+B9)</f>
        <v>201.66666666666669</v>
      </c>
      <c r="C11" s="5" t="s">
        <v>8</v>
      </c>
      <c r="D11" s="5" t="s">
        <v>124</v>
      </c>
      <c r="E11" s="5" t="s">
        <v>18</v>
      </c>
      <c r="F11" s="5" t="s">
        <v>380</v>
      </c>
    </row>
    <row r="12" spans="1:6" ht="42" customHeight="1">
      <c r="A12" s="5" t="s">
        <v>381</v>
      </c>
      <c r="B12" s="20">
        <v>21</v>
      </c>
      <c r="C12" s="5" t="s">
        <v>372</v>
      </c>
      <c r="D12" s="5" t="s">
        <v>124</v>
      </c>
      <c r="E12" s="5" t="s">
        <v>373</v>
      </c>
      <c r="F12" s="5" t="s">
        <v>382</v>
      </c>
    </row>
    <row r="13" spans="1:6" ht="42" customHeight="1">
      <c r="A13" s="5" t="s">
        <v>383</v>
      </c>
      <c r="B13" s="20">
        <v>20</v>
      </c>
      <c r="C13" s="5" t="s">
        <v>372</v>
      </c>
      <c r="D13" s="5" t="s">
        <v>124</v>
      </c>
      <c r="E13" s="5" t="s">
        <v>373</v>
      </c>
      <c r="F13" s="5" t="s">
        <v>382</v>
      </c>
    </row>
    <row r="14" spans="1:6" ht="42" customHeight="1">
      <c r="A14" s="5" t="s">
        <v>384</v>
      </c>
      <c r="B14" s="20">
        <v>8</v>
      </c>
      <c r="C14" s="5" t="s">
        <v>372</v>
      </c>
      <c r="D14" s="5" t="s">
        <v>176</v>
      </c>
      <c r="E14" s="5" t="s">
        <v>373</v>
      </c>
      <c r="F14" s="5" t="s">
        <v>385</v>
      </c>
    </row>
    <row r="15" spans="1:6" ht="42" customHeight="1">
      <c r="A15" s="5" t="s">
        <v>386</v>
      </c>
      <c r="B15" s="20">
        <f>2*(B12+B13)</f>
        <v>82</v>
      </c>
      <c r="C15" s="5" t="s">
        <v>8</v>
      </c>
      <c r="D15" s="5" t="s">
        <v>124</v>
      </c>
      <c r="E15" s="5" t="s">
        <v>18</v>
      </c>
      <c r="F15" s="5" t="s">
        <v>387</v>
      </c>
    </row>
    <row r="16" spans="1:6" ht="42" customHeight="1">
      <c r="A16" s="5" t="s">
        <v>388</v>
      </c>
      <c r="B16" s="20">
        <v>220</v>
      </c>
      <c r="C16" s="5" t="s">
        <v>8</v>
      </c>
      <c r="D16" s="5" t="s">
        <v>124</v>
      </c>
      <c r="E16" s="5" t="s">
        <v>9</v>
      </c>
      <c r="F16" s="5" t="s">
        <v>389</v>
      </c>
    </row>
    <row r="17" spans="1:6" ht="42" customHeight="1">
      <c r="A17" s="5" t="s">
        <v>390</v>
      </c>
      <c r="B17" s="20">
        <v>4</v>
      </c>
      <c r="C17" s="5" t="s">
        <v>391</v>
      </c>
      <c r="D17" s="5" t="s">
        <v>85</v>
      </c>
      <c r="E17" s="5" t="s">
        <v>48</v>
      </c>
      <c r="F17" s="5" t="s">
        <v>392</v>
      </c>
    </row>
    <row r="18" spans="1:6" ht="42" customHeight="1">
      <c r="A18" s="5" t="s">
        <v>393</v>
      </c>
      <c r="B18" s="20">
        <v>4</v>
      </c>
      <c r="C18" s="5" t="s">
        <v>391</v>
      </c>
      <c r="D18" s="5" t="s">
        <v>85</v>
      </c>
      <c r="E18" s="5" t="s">
        <v>48</v>
      </c>
      <c r="F18" s="5" t="s">
        <v>392</v>
      </c>
    </row>
    <row r="19" spans="1:6" ht="42" customHeight="1">
      <c r="A19" s="5" t="s">
        <v>394</v>
      </c>
      <c r="B19" s="20">
        <v>4</v>
      </c>
      <c r="C19" s="5" t="s">
        <v>391</v>
      </c>
      <c r="D19" s="5" t="s">
        <v>98</v>
      </c>
      <c r="E19" s="5" t="s">
        <v>35</v>
      </c>
      <c r="F19" s="5" t="s">
        <v>395</v>
      </c>
    </row>
    <row r="20" spans="1:6" ht="42" customHeight="1">
      <c r="A20" s="5" t="s">
        <v>396</v>
      </c>
      <c r="B20" s="20">
        <v>14.9</v>
      </c>
      <c r="C20" s="5" t="s">
        <v>8</v>
      </c>
      <c r="D20" s="5" t="s">
        <v>85</v>
      </c>
      <c r="E20" s="5" t="s">
        <v>9</v>
      </c>
      <c r="F20" s="5" t="s">
        <v>397</v>
      </c>
    </row>
    <row r="21" spans="1:6" ht="42" customHeight="1">
      <c r="A21" s="5" t="s">
        <v>398</v>
      </c>
      <c r="B21" s="20">
        <v>11.5</v>
      </c>
      <c r="C21" s="5" t="s">
        <v>8</v>
      </c>
      <c r="D21" s="5" t="s">
        <v>85</v>
      </c>
      <c r="E21" s="5" t="s">
        <v>9</v>
      </c>
      <c r="F21" s="5" t="s">
        <v>399</v>
      </c>
    </row>
    <row r="22" spans="1:6" ht="42" customHeight="1">
      <c r="A22" s="5" t="s">
        <v>400</v>
      </c>
      <c r="B22" s="20">
        <v>43.8</v>
      </c>
      <c r="C22" s="5" t="s">
        <v>8</v>
      </c>
      <c r="D22" s="5" t="s">
        <v>85</v>
      </c>
      <c r="E22" s="5" t="s">
        <v>9</v>
      </c>
      <c r="F22" s="5" t="s">
        <v>401</v>
      </c>
    </row>
    <row r="23" spans="1:6" ht="42" customHeight="1">
      <c r="A23" s="5" t="s">
        <v>402</v>
      </c>
      <c r="B23" s="20">
        <v>32.799999999999997</v>
      </c>
      <c r="C23" s="5" t="s">
        <v>8</v>
      </c>
      <c r="D23" s="5" t="s">
        <v>85</v>
      </c>
      <c r="E23" s="5" t="s">
        <v>9</v>
      </c>
      <c r="F23" s="5" t="s">
        <v>403</v>
      </c>
    </row>
    <row r="24" spans="1:6" ht="42" customHeight="1">
      <c r="A24" s="5" t="s">
        <v>404</v>
      </c>
      <c r="B24" s="20">
        <v>31.5</v>
      </c>
      <c r="C24" s="5" t="s">
        <v>8</v>
      </c>
      <c r="D24" s="5" t="s">
        <v>90</v>
      </c>
      <c r="E24" s="5" t="s">
        <v>9</v>
      </c>
      <c r="F24" s="5" t="s">
        <v>405</v>
      </c>
    </row>
    <row r="25" spans="1:6" ht="42" customHeight="1">
      <c r="A25" s="5" t="s">
        <v>406</v>
      </c>
      <c r="B25" s="20">
        <v>20</v>
      </c>
      <c r="C25" s="5" t="s">
        <v>8</v>
      </c>
      <c r="D25" s="5" t="s">
        <v>407</v>
      </c>
      <c r="E25" s="5" t="s">
        <v>9</v>
      </c>
      <c r="F25" s="5" t="s">
        <v>408</v>
      </c>
    </row>
    <row r="26" spans="1:6" ht="42" customHeight="1">
      <c r="A26" s="5" t="s">
        <v>409</v>
      </c>
      <c r="B26" s="20">
        <v>180</v>
      </c>
      <c r="C26" s="5" t="s">
        <v>12</v>
      </c>
      <c r="D26" s="5" t="s">
        <v>131</v>
      </c>
      <c r="E26" s="5" t="s">
        <v>9</v>
      </c>
      <c r="F26" s="5" t="s">
        <v>410</v>
      </c>
    </row>
    <row r="27" spans="1:6" ht="42" customHeight="1">
      <c r="A27" s="5" t="s">
        <v>411</v>
      </c>
      <c r="B27" s="20">
        <v>325</v>
      </c>
      <c r="C27" s="5" t="s">
        <v>12</v>
      </c>
      <c r="D27" s="5" t="s">
        <v>157</v>
      </c>
      <c r="E27" s="5" t="s">
        <v>9</v>
      </c>
      <c r="F27" s="5" t="s">
        <v>412</v>
      </c>
    </row>
    <row r="28" spans="1:6" ht="42" customHeight="1">
      <c r="A28" s="5" t="s">
        <v>413</v>
      </c>
      <c r="B28" s="20">
        <v>133</v>
      </c>
      <c r="C28" s="5" t="s">
        <v>12</v>
      </c>
      <c r="D28" s="5" t="s">
        <v>414</v>
      </c>
      <c r="E28" s="5" t="s">
        <v>9</v>
      </c>
      <c r="F28" s="5" t="s">
        <v>415</v>
      </c>
    </row>
    <row r="29" spans="1:6" ht="42" customHeight="1">
      <c r="A29" s="5" t="s">
        <v>416</v>
      </c>
      <c r="B29" s="20">
        <v>130</v>
      </c>
      <c r="C29" s="5" t="s">
        <v>12</v>
      </c>
      <c r="D29" s="5" t="s">
        <v>131</v>
      </c>
      <c r="E29" s="5" t="s">
        <v>35</v>
      </c>
      <c r="F29" s="5" t="s">
        <v>417</v>
      </c>
    </row>
    <row r="30" spans="1:6" ht="42" customHeight="1">
      <c r="A30" s="5" t="s">
        <v>418</v>
      </c>
      <c r="B30" s="20">
        <v>440</v>
      </c>
      <c r="C30" s="5" t="s">
        <v>12</v>
      </c>
      <c r="D30" s="5" t="s">
        <v>157</v>
      </c>
      <c r="E30" s="5" t="s">
        <v>9</v>
      </c>
      <c r="F30" s="5" t="s">
        <v>419</v>
      </c>
    </row>
    <row r="31" spans="1:6" ht="42" customHeight="1">
      <c r="A31" s="5" t="s">
        <v>420</v>
      </c>
      <c r="B31" s="20">
        <v>200</v>
      </c>
      <c r="C31" s="5" t="s">
        <v>12</v>
      </c>
      <c r="D31" s="5" t="s">
        <v>124</v>
      </c>
      <c r="E31" s="5" t="s">
        <v>35</v>
      </c>
      <c r="F31" s="5" t="s">
        <v>421</v>
      </c>
    </row>
    <row r="32" spans="1:6" ht="42" customHeight="1">
      <c r="A32" s="5" t="s">
        <v>422</v>
      </c>
      <c r="B32" s="20">
        <v>41</v>
      </c>
      <c r="C32" s="5" t="s">
        <v>8</v>
      </c>
      <c r="D32" s="5" t="s">
        <v>121</v>
      </c>
      <c r="E32" s="5" t="s">
        <v>9</v>
      </c>
      <c r="F32" s="5" t="s">
        <v>423</v>
      </c>
    </row>
    <row r="33" spans="1:6" ht="42" customHeight="1">
      <c r="A33" s="5" t="s">
        <v>424</v>
      </c>
      <c r="B33" s="20">
        <v>1.5</v>
      </c>
      <c r="C33" s="5" t="s">
        <v>372</v>
      </c>
      <c r="D33" s="5" t="s">
        <v>131</v>
      </c>
      <c r="E33" s="5" t="s">
        <v>373</v>
      </c>
      <c r="F33" s="5" t="s">
        <v>425</v>
      </c>
    </row>
    <row r="34" spans="1:6" ht="42" customHeight="1">
      <c r="A34" s="5" t="s">
        <v>426</v>
      </c>
      <c r="B34" s="20">
        <v>0.33333333333333331</v>
      </c>
      <c r="C34" s="5" t="s">
        <v>372</v>
      </c>
      <c r="D34" s="5" t="s">
        <v>131</v>
      </c>
      <c r="E34" s="5" t="s">
        <v>373</v>
      </c>
      <c r="F34" s="5" t="s">
        <v>427</v>
      </c>
    </row>
    <row r="35" spans="1:6" ht="42" customHeight="1">
      <c r="A35" s="5" t="s">
        <v>428</v>
      </c>
      <c r="B35" s="20">
        <v>1.5</v>
      </c>
      <c r="C35" s="5" t="s">
        <v>372</v>
      </c>
      <c r="D35" s="5" t="s">
        <v>131</v>
      </c>
      <c r="E35" s="5" t="s">
        <v>35</v>
      </c>
      <c r="F35" s="5" t="s">
        <v>429</v>
      </c>
    </row>
    <row r="36" spans="1:6" ht="42" customHeight="1">
      <c r="A36" s="5" t="s">
        <v>430</v>
      </c>
      <c r="B36" s="20">
        <v>4</v>
      </c>
      <c r="C36" s="5" t="s">
        <v>391</v>
      </c>
      <c r="D36" s="5" t="s">
        <v>197</v>
      </c>
      <c r="E36" s="5" t="s">
        <v>48</v>
      </c>
      <c r="F36" s="5" t="s">
        <v>431</v>
      </c>
    </row>
    <row r="37" spans="1:6" ht="42" customHeight="1">
      <c r="A37" s="5" t="s">
        <v>432</v>
      </c>
      <c r="B37" s="20">
        <f>SQRT(1+(B36/12)^2)</f>
        <v>1.0540925533894598</v>
      </c>
      <c r="C37" s="5" t="s">
        <v>433</v>
      </c>
      <c r="D37" s="5" t="s">
        <v>131</v>
      </c>
      <c r="E37" s="5" t="s">
        <v>18</v>
      </c>
      <c r="F37" s="5" t="s">
        <v>434</v>
      </c>
    </row>
    <row r="38" spans="1:6" ht="42" customHeight="1">
      <c r="A38" s="5" t="s">
        <v>435</v>
      </c>
      <c r="B38" s="20">
        <v>1580</v>
      </c>
      <c r="C38" s="5" t="s">
        <v>12</v>
      </c>
      <c r="D38" s="5" t="s">
        <v>124</v>
      </c>
      <c r="E38" s="5" t="s">
        <v>35</v>
      </c>
      <c r="F38" s="5" t="s">
        <v>436</v>
      </c>
    </row>
    <row r="39" spans="1:6" ht="42" customHeight="1">
      <c r="A39" s="5" t="s">
        <v>437</v>
      </c>
      <c r="B39" s="20">
        <v>275</v>
      </c>
      <c r="C39" s="5" t="s">
        <v>12</v>
      </c>
      <c r="D39" s="5" t="s">
        <v>124</v>
      </c>
      <c r="E39" s="5" t="s">
        <v>35</v>
      </c>
      <c r="F39" s="5" t="s">
        <v>438</v>
      </c>
    </row>
    <row r="40" spans="1:6" ht="42" customHeight="1">
      <c r="A40" s="5" t="s">
        <v>439</v>
      </c>
      <c r="B40" s="20">
        <v>0</v>
      </c>
      <c r="C40" s="5" t="s">
        <v>12</v>
      </c>
      <c r="D40" s="5" t="s">
        <v>85</v>
      </c>
      <c r="E40" s="5" t="s">
        <v>23</v>
      </c>
      <c r="F40" s="5" t="s">
        <v>440</v>
      </c>
    </row>
    <row r="41" spans="1:6" ht="42" customHeight="1">
      <c r="A41" s="5" t="s">
        <v>441</v>
      </c>
      <c r="B41" s="20">
        <v>0</v>
      </c>
      <c r="C41" s="5" t="s">
        <v>12</v>
      </c>
      <c r="D41" s="5" t="s">
        <v>121</v>
      </c>
      <c r="E41" s="5" t="s">
        <v>442</v>
      </c>
      <c r="F41" s="5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Trade quantities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Leon</dc:creator>
  <cp:lastModifiedBy>Robert Leon</cp:lastModifiedBy>
  <dcterms:created xsi:type="dcterms:W3CDTF">2026-09-30T02:44:42Z</dcterms:created>
  <dcterms:modified xsi:type="dcterms:W3CDTF">2026-09-30T02:44:42Z</dcterms:modified>
</cp:coreProperties>
</file>