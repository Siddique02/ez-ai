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ob\Dropbox\1 current projects\Rivera\Rivera project Manager\Plan\"/>
    </mc:Choice>
  </mc:AlternateContent>
  <xr:revisionPtr revIDLastSave="0" documentId="8_{6B96CBA4-E9F1-409F-A67C-24B49F1D7E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Trade takeoff" sheetId="2" r:id="rId2"/>
    <sheet name="Measure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2" l="1"/>
  <c r="D100" i="2"/>
  <c r="F100" i="2" s="1"/>
  <c r="F99" i="2"/>
  <c r="F98" i="2"/>
  <c r="D97" i="2"/>
  <c r="F97" i="2" s="1"/>
  <c r="D96" i="2"/>
  <c r="F96" i="2" s="1"/>
  <c r="F95" i="2"/>
  <c r="F94" i="2"/>
  <c r="F93" i="2"/>
  <c r="F92" i="2"/>
  <c r="F91" i="2"/>
  <c r="F90" i="2"/>
  <c r="F89" i="2"/>
  <c r="F88" i="2"/>
  <c r="F87" i="2"/>
  <c r="F86" i="2"/>
  <c r="F85" i="2"/>
  <c r="F83" i="2"/>
  <c r="F82" i="2"/>
  <c r="F81" i="2"/>
  <c r="F80" i="2"/>
  <c r="F79" i="2"/>
  <c r="F78" i="2"/>
  <c r="F77" i="2"/>
  <c r="F76" i="2"/>
  <c r="F75" i="2"/>
  <c r="F74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D57" i="2"/>
  <c r="F57" i="2" s="1"/>
  <c r="D56" i="2"/>
  <c r="F56" i="2" s="1"/>
  <c r="D55" i="2"/>
  <c r="F55" i="2" s="1"/>
  <c r="D54" i="2"/>
  <c r="F54" i="2" s="1"/>
  <c r="D53" i="2"/>
  <c r="F53" i="2" s="1"/>
  <c r="D52" i="2"/>
  <c r="F49" i="2"/>
  <c r="D45" i="2"/>
  <c r="D44" i="2"/>
  <c r="D43" i="2"/>
  <c r="F43" i="2" s="1"/>
  <c r="D42" i="2"/>
  <c r="F42" i="2" s="1"/>
  <c r="F41" i="2"/>
  <c r="D40" i="2"/>
  <c r="D39" i="2"/>
  <c r="F39" i="2" s="1"/>
  <c r="D36" i="2"/>
  <c r="F36" i="2" s="1"/>
  <c r="F34" i="2"/>
  <c r="D33" i="2"/>
  <c r="F33" i="2" s="1"/>
  <c r="D32" i="2"/>
  <c r="F32" i="2" s="1"/>
  <c r="F31" i="2"/>
  <c r="D31" i="2"/>
  <c r="B12" i="1" s="1"/>
  <c r="D30" i="2"/>
  <c r="F30" i="2" s="1"/>
  <c r="D29" i="2"/>
  <c r="F29" i="2" s="1"/>
  <c r="D28" i="2"/>
  <c r="F28" i="2" s="1"/>
  <c r="D27" i="2"/>
  <c r="F27" i="2" s="1"/>
  <c r="D26" i="2"/>
  <c r="F26" i="2" s="1"/>
  <c r="D24" i="2"/>
  <c r="D23" i="2"/>
  <c r="F21" i="2"/>
  <c r="D19" i="2"/>
  <c r="F19" i="2" s="1"/>
  <c r="D18" i="2"/>
  <c r="F18" i="2" s="1"/>
  <c r="D17" i="2"/>
  <c r="F17" i="2" s="1"/>
  <c r="D15" i="2"/>
  <c r="F15" i="2" s="1"/>
  <c r="D14" i="2"/>
  <c r="D11" i="2"/>
  <c r="D9" i="2"/>
  <c r="D8" i="2"/>
  <c r="F8" i="2" s="1"/>
  <c r="D7" i="2"/>
  <c r="F52" i="2" l="1"/>
  <c r="B18" i="1"/>
  <c r="F45" i="2"/>
  <c r="D48" i="2"/>
  <c r="F48" i="2" s="1"/>
  <c r="D51" i="2"/>
  <c r="F51" i="2" s="1"/>
  <c r="D47" i="2"/>
  <c r="F47" i="2" s="1"/>
  <c r="D46" i="2"/>
  <c r="F46" i="2" s="1"/>
  <c r="D50" i="2"/>
  <c r="F50" i="2" s="1"/>
  <c r="B16" i="1"/>
  <c r="B17" i="1"/>
  <c r="F44" i="2"/>
  <c r="F40" i="2"/>
  <c r="B15" i="1"/>
  <c r="F24" i="2"/>
  <c r="D35" i="2"/>
  <c r="D25" i="2"/>
  <c r="F23" i="2"/>
  <c r="F14" i="2"/>
  <c r="B9" i="1"/>
  <c r="B7" i="1"/>
  <c r="F11" i="2"/>
  <c r="D12" i="2"/>
  <c r="F9" i="2"/>
  <c r="D22" i="2"/>
  <c r="F22" i="2" s="1"/>
  <c r="D20" i="2"/>
  <c r="F20" i="2" s="1"/>
  <c r="D10" i="2"/>
  <c r="D13" i="2"/>
  <c r="F13" i="2" s="1"/>
  <c r="F7" i="2"/>
  <c r="D37" i="2" l="1"/>
  <c r="F35" i="2"/>
  <c r="F25" i="2"/>
  <c r="B11" i="1"/>
  <c r="F12" i="2"/>
  <c r="D16" i="2"/>
  <c r="F10" i="2"/>
  <c r="B8" i="1"/>
  <c r="B14" i="1" l="1"/>
  <c r="F37" i="2"/>
  <c r="D38" i="2"/>
  <c r="F38" i="2" s="1"/>
  <c r="F16" i="2"/>
  <c r="B10" i="1"/>
</calcChain>
</file>

<file path=xl/sharedStrings.xml><?xml version="1.0" encoding="utf-8"?>
<sst xmlns="http://schemas.openxmlformats.org/spreadsheetml/2006/main" count="833" uniqueCount="421">
  <si>
    <t>11653 Rivera Road - construction takeoff</t>
  </si>
  <si>
    <t>563 SF rear addition + WIC/pantry remodel | Approved set dated July 17, 2024 | Quantities only; no prices</t>
  </si>
  <si>
    <t>Scope</t>
  </si>
  <si>
    <t>Quantity</t>
  </si>
  <si>
    <t>Unit</t>
  </si>
  <si>
    <t>Basis</t>
  </si>
  <si>
    <t>Notes</t>
  </si>
  <si>
    <t>New foundation slab</t>
  </si>
  <si>
    <t>SF</t>
  </si>
  <si>
    <t>Stated</t>
  </si>
  <si>
    <t>Slab thickness conflict: 6 in vs 4 in.</t>
  </si>
  <si>
    <t>New continuous / thickened footing lines</t>
  </si>
  <si>
    <t>LF</t>
  </si>
  <si>
    <t>Approximate</t>
  </si>
  <si>
    <t>77 exterior + 22.3 interior + 25.8 connection edge.</t>
  </si>
  <si>
    <t>Isolated pad footings</t>
  </si>
  <si>
    <t>EA</t>
  </si>
  <si>
    <t>Counted / conflict</t>
  </si>
  <si>
    <t>2 pads; plan 1.5 ft square vs detail 2 ft square.</t>
  </si>
  <si>
    <t>Concrete budget, before 10% overage</t>
  </si>
  <si>
    <t>CY</t>
  </si>
  <si>
    <t>Allowance</t>
  </si>
  <si>
    <t>6 in slab and conservative pad size; confirm engineer details.</t>
  </si>
  <si>
    <t>Wall framing, gross one-face area</t>
  </si>
  <si>
    <t>Openings included; addition plus existing remodel partitions.</t>
  </si>
  <si>
    <t>Ceiling joist coverage</t>
  </si>
  <si>
    <t>Stated / plan</t>
  </si>
  <si>
    <t>New 2x10 @16 in OC; localized existing sistering extra.</t>
  </si>
  <si>
    <t>New floor joist coverage</t>
  </si>
  <si>
    <t>Not shown</t>
  </si>
  <si>
    <t>0 SF: new addition is slab on grade.</t>
  </si>
  <si>
    <t>Drywall, installed area</t>
  </si>
  <si>
    <t>Net wall gypsum + ceilings; shower backer separate.</t>
  </si>
  <si>
    <t>Stucco, new net field area</t>
  </si>
  <si>
    <t>Calculated</t>
  </si>
  <si>
    <t>50 SF repair allowance listed separately.</t>
  </si>
  <si>
    <t>Roofing, full-house installed area</t>
  </si>
  <si>
    <t>Includes existing house roof work; garage excluded.</t>
  </si>
  <si>
    <t>Roofing, addition-only subset</t>
  </si>
  <si>
    <t>Included in full-house figure; do not add together.</t>
  </si>
  <si>
    <t>Addition floor coverings</t>
  </si>
  <si>
    <t>Clear-floor estimate; 65 SF remodel allowance separate.</t>
  </si>
  <si>
    <t>Electrical drawn quantities</t>
  </si>
  <si>
    <t>Counted</t>
  </si>
  <si>
    <t>2 GFI, 5 switches, 2 smoke alarms, 1 CO alarm, 2 fan connections.</t>
  </si>
  <si>
    <t>Plumbing equipment / fixtures</t>
  </si>
  <si>
    <t>Counted / scheduled</t>
  </si>
  <si>
    <t>2 toilets, 2 lavatories, 2 showers, 1 gas tankless heater.</t>
  </si>
  <si>
    <t>Mechanical equipment</t>
  </si>
  <si>
    <t>Energy schedule</t>
  </si>
  <si>
    <t>1 furnace, 1 split AC, 1 balanced ventilation set, 2 bath fans.</t>
  </si>
  <si>
    <t>Items requiring clarification before ordering</t>
  </si>
  <si>
    <t>1. S-2 slab: detail 1 specifies 6 in; detail 5 specifies 4 in. Concrete budget uses 6 in.</t>
  </si>
  <si>
    <t>2. S-2 pads: plan labels 1.5x1.5 ft; detail 6 specifies 24 in square. Budget uses 2x2x2 ft.</t>
  </si>
  <si>
    <t>3. Interior footing section is not separately keyed. Budget assumes exterior section; confirm with engineer.</t>
  </si>
  <si>
    <t>4. Electrical circuit layout, service load, plumbing routes and HVAC duct sizes/locations are absent.</t>
  </si>
  <si>
    <t>5. Pipe/cable/duct quantities marked Allowance are estimating assumptions, not measured routed lengths.</t>
  </si>
  <si>
    <t>6. Roof area is scaled and uses average pitch; verify plane areas and existing-house demolition limits.</t>
  </si>
  <si>
    <t>7. Finish flooring is not scheduled. Bath tile is assumed; owner must select remaining flooring.</t>
  </si>
  <si>
    <t>8. Existing house walls/ceilings beyond identified remodel and garage work are excluded from new finish totals.</t>
  </si>
  <si>
    <t>9. No exact lumber cut list, ridge/hip/valley schedule, hardware package or excavation/soil export takeoff.</t>
  </si>
  <si>
    <t>10. Source: BSD Stamped Plans BLDR231213011868 - 11653 Rivera Rd.pdf, 13 pages.</t>
  </si>
  <si>
    <t>Construction quantities - 11653 Rivera Road</t>
  </si>
  <si>
    <t>Approximate estimating takeoff | Blue inputs are editable | Blank quantity = not measurable from supplied plans</t>
  </si>
  <si>
    <t>Trade</t>
  </si>
  <si>
    <t>Item</t>
  </si>
  <si>
    <t>Installed qty</t>
  </si>
  <si>
    <t>Overage</t>
  </si>
  <si>
    <t>Budget qty</t>
  </si>
  <si>
    <t>Sheet / PDF page</t>
  </si>
  <si>
    <t>Method / limitation</t>
  </si>
  <si>
    <t>Foundation</t>
  </si>
  <si>
    <t>Exposed exterior continuous footings</t>
  </si>
  <si>
    <t>Scaled approx.</t>
  </si>
  <si>
    <t>S-2 / PDF 11</t>
  </si>
  <si>
    <t>New exposed perimeter only.</t>
  </si>
  <si>
    <t>Interior longitudinal thickened footing</t>
  </si>
  <si>
    <t>Section assumed same as exterior for budget; obtain engineer confirmation.</t>
  </si>
  <si>
    <t>Slab-to-existing turned-down edge</t>
  </si>
  <si>
    <t>S-2 details 4-5</t>
  </si>
  <si>
    <t>12 in wide x 18 in deep; does not duplicate perimeter.</t>
  </si>
  <si>
    <t>TOTAL new continuous / thickened lines</t>
  </si>
  <si>
    <t>Pads listed separately; includes connection edge.</t>
  </si>
  <si>
    <t>New foundation slab area</t>
  </si>
  <si>
    <t>A-1; S-2</t>
  </si>
  <si>
    <t>6 in budget thickness; plan conflict unresolved.</t>
  </si>
  <si>
    <t>Slab concrete only - 6 in budget</t>
  </si>
  <si>
    <t>Conflict / allowance</t>
  </si>
  <si>
    <t>S-2 details 1 and 5</t>
  </si>
  <si>
    <t>Does not include footings. Alternative 4 in slab = 6.95 CY.</t>
  </si>
  <si>
    <t>Footing concrete below slab plane</t>
  </si>
  <si>
    <t>Interior footing section assumed; deducts slab overlap.</t>
  </si>
  <si>
    <t>Budget 2x2x2 ft each; plan calls 1.5x1.5 ft.</t>
  </si>
  <si>
    <t>Pad concrete</t>
  </si>
  <si>
    <t>S-2 detail 6</t>
  </si>
  <si>
    <t>Full pad volume; existing-slab patch quantity not included.</t>
  </si>
  <si>
    <t>TOTAL concrete budget before overage</t>
  </si>
  <si>
    <t>Subject to slab/pad/footing clarification. Add 10% ordering allowance.</t>
  </si>
  <si>
    <t>Clean aggregate base</t>
  </si>
  <si>
    <t>Compacted in-place quantity.</t>
  </si>
  <si>
    <t>Vapor barrier</t>
  </si>
  <si>
    <t>Budget 10 mil; detail 5 shows 6 mil.</t>
  </si>
  <si>
    <t>#4 slab reinforcing at 16 in EW</t>
  </si>
  <si>
    <t>Area allowance</t>
  </si>
  <si>
    <t>Area method excludes individual bar cuts; 15% laps/cutting.</t>
  </si>
  <si>
    <t>#4 longitudinal footing reinforcing</t>
  </si>
  <si>
    <t>4 bars typical exterior; 2 bottom bars connection edge; verify interior section.</t>
  </si>
  <si>
    <t>HDU4 hold-down locations</t>
  </si>
  <si>
    <t>Includes cast-in and epoxy anchorage locations; verify anchor types.</t>
  </si>
  <si>
    <t>Slab connection dowels #5 @16 in</t>
  </si>
  <si>
    <t>Calculated approx.</t>
  </si>
  <si>
    <t>S-2 detail 5</t>
  </si>
  <si>
    <t>Additional footing end dowels per detail 4 not included.</t>
  </si>
  <si>
    <t>Wall framing</t>
  </si>
  <si>
    <t>Exterior framed wall, gross one-face area</t>
  </si>
  <si>
    <t>A-3; S-2</t>
  </si>
  <si>
    <t>One face; openings not deducted.</t>
  </si>
  <si>
    <t>Interior framed wall, gross one-face area</t>
  </si>
  <si>
    <t>A-3 / PDF 4</t>
  </si>
  <si>
    <t>Addition plus WIC/pantry alterations.</t>
  </si>
  <si>
    <t>TOTAL wall framing gross one-face area</t>
  </si>
  <si>
    <t>Not the two-sided drywall area.</t>
  </si>
  <si>
    <t>TOTAL new framed wall length</t>
  </si>
  <si>
    <t>Opening spans included; retained existing walls excluded.</t>
  </si>
  <si>
    <t>2x4 common stud budget @16 in OC</t>
  </si>
  <si>
    <t>A-6.1; SD1</t>
  </si>
  <si>
    <t>Add 25% for kings, jacks, corners and cripples; not an exact cut list.</t>
  </si>
  <si>
    <t>Double top plates</t>
  </si>
  <si>
    <t>SD1 / PDF 13</t>
  </si>
  <si>
    <t>DF-L per structural notes.</t>
  </si>
  <si>
    <t>Bottom plates / PT sill</t>
  </si>
  <si>
    <t>SD1; S-2</t>
  </si>
  <si>
    <t>PT where in contact with concrete.</t>
  </si>
  <si>
    <t>Scheduled shear wall panel area</t>
  </si>
  <si>
    <t>Scheduled calculation</t>
  </si>
  <si>
    <t>S-3 / PDF 12</t>
  </si>
  <si>
    <t>Six tagged lengths; gross panel area. 15/32 in structural panels.</t>
  </si>
  <si>
    <t>Joists</t>
  </si>
  <si>
    <t>New ceiling joist coverage, 2x10 @16 in OC</t>
  </si>
  <si>
    <t>S-3; A-6.1</t>
  </si>
  <si>
    <t>Addition ceiling only; existing ceiling joists generally remain.</t>
  </si>
  <si>
    <t>New ceiling joist lumber, area-based budget</t>
  </si>
  <si>
    <t>Includes basic joist runs only; add double/sistered members separately.</t>
  </si>
  <si>
    <t>Existing ceiling joist retained coverage</t>
  </si>
  <si>
    <t>Stated / existing</t>
  </si>
  <si>
    <t>Existing 908 SF; localized sistering and beams require field lengths.</t>
  </si>
  <si>
    <t>New raised-floor / floor joist area</t>
  </si>
  <si>
    <t>Slab-on-grade construction; no new framed floor indicated.</t>
  </si>
  <si>
    <t>Drywall</t>
  </si>
  <si>
    <t>New/altered wall gypsum net area</t>
  </si>
  <si>
    <t>A-3; A-6</t>
  </si>
  <si>
    <t>Exterior interior face + both partition faces; deduct door openings and assumed shower backer.</t>
  </si>
  <si>
    <t>Ceiling gypsum: addition + remodel allowance</t>
  </si>
  <si>
    <t>Calculated + allowance</t>
  </si>
  <si>
    <t>A-3; S-3</t>
  </si>
  <si>
    <t>Existing-house ceiling replacement beyond 65 SF not included.</t>
  </si>
  <si>
    <t>TOTAL installed gypsum board area</t>
  </si>
  <si>
    <t>Wall and ceiling totals; shower backer separate.</t>
  </si>
  <si>
    <t>4x8 gypsum sheet equivalent with waste</t>
  </si>
  <si>
    <t>Material allowance</t>
  </si>
  <si>
    <t>Estimator calculation</t>
  </si>
  <si>
    <t>Sheet-equivalent budget; select actual thickness / board lengths.</t>
  </si>
  <si>
    <t>Shower cementitious backer wall area</t>
  </si>
  <si>
    <t>A-3 keynotes</t>
  </si>
  <si>
    <t>Waterproofing and tile finish also required.</t>
  </si>
  <si>
    <t>Stucco</t>
  </si>
  <si>
    <t>New exterior stucco net field area</t>
  </si>
  <si>
    <t>A-5; A-6</t>
  </si>
  <si>
    <t>CTS Rapid Set one-coat system to match existing; excludes added tie-in patch allowance.</t>
  </si>
  <si>
    <t>Stucco tie-in / repair patch</t>
  </si>
  <si>
    <t>A-3; A-5</t>
  </si>
  <si>
    <t>Confirm demolition edges and existing finish condition.</t>
  </si>
  <si>
    <t>Weather barrier and lath gross area</t>
  </si>
  <si>
    <t>Stated area</t>
  </si>
  <si>
    <t>No opening deduction for membrane/lath budgeting.</t>
  </si>
  <si>
    <t>Weep screed new exposed walls</t>
  </si>
  <si>
    <t>A-5 detail 3</t>
  </si>
  <si>
    <t>Verify transitions at existing-house junctions.</t>
  </si>
  <si>
    <t>Roofing</t>
  </si>
  <si>
    <t>Addition-only sloped roof area</t>
  </si>
  <si>
    <t>A-4 / PDF 5</t>
  </si>
  <si>
    <t>Subset of full roof below; do not add together.</t>
  </si>
  <si>
    <t>FULL HOUSE sloped roof area</t>
  </si>
  <si>
    <t>A-4; S-3; A-5</t>
  </si>
  <si>
    <t>Roof alteration shown throughout house; garage excluded. Confirm demolition limits.</t>
  </si>
  <si>
    <t>Full house roofing squares with waste</t>
  </si>
  <si>
    <t>SQ</t>
  </si>
  <si>
    <t>A-4; A-5</t>
  </si>
  <si>
    <t>Class A composition shingles over min. 30 lb felt.</t>
  </si>
  <si>
    <t>Full roof underlayment</t>
  </si>
  <si>
    <t>A-5 keynote 4</t>
  </si>
  <si>
    <t>Min. 30 lb felt; add lap/cutting allowance.</t>
  </si>
  <si>
    <t>Full roof 15/32 in structural sheathing</t>
  </si>
  <si>
    <t>New roof rafters labeled across house; verify retained sheathing scope.</t>
  </si>
  <si>
    <t>Addition eave vents GAF VE3522</t>
  </si>
  <si>
    <t>A-4 ventilation calculation</t>
  </si>
  <si>
    <t>41 square inches net free area each; 574 square inches total.</t>
  </si>
  <si>
    <t>Roof framing</t>
  </si>
  <si>
    <t>Full roof 2x10 rafter coverage</t>
  </si>
  <si>
    <t>New 2x10 rafters @16 in OC labeled across roof plan.</t>
  </si>
  <si>
    <t>Full roof rafter lumber area-based budget</t>
  </si>
  <si>
    <t>Excludes separate hips, ridges, valleys, kickers and bearing posts.</t>
  </si>
  <si>
    <t>Floor coverings</t>
  </si>
  <si>
    <t>Addition finish floor area, all rooms</t>
  </si>
  <si>
    <t>Finish selection not scheduled; clear-floor estimate excludes wall footprints.</t>
  </si>
  <si>
    <t>Bath floors excluding shower footprints</t>
  </si>
  <si>
    <t>Dimension + allowance</t>
  </si>
  <si>
    <t>Assumed tile; included in total addition finish floor.</t>
  </si>
  <si>
    <t>Shower tiled / waterproofed floors</t>
  </si>
  <si>
    <t>Included in total bath and addition floor areas.</t>
  </si>
  <si>
    <t>Bedrooms, hall and closet flooring</t>
  </si>
  <si>
    <t>Owner to select finish; included in total addition floor.</t>
  </si>
  <si>
    <t>Existing WIC / pantry finish floor</t>
  </si>
  <si>
    <t>Separate from addition finish flooring.</t>
  </si>
  <si>
    <t>Shower wall tile</t>
  </si>
  <si>
    <t>Minimum 72 in high wall finish; material pattern may increase waste.</t>
  </si>
  <si>
    <t>Electrical</t>
  </si>
  <si>
    <t>New bathroom GFI receptacles</t>
  </si>
  <si>
    <t>One in each new bath.</t>
  </si>
  <si>
    <t>New single-pole switch symbols</t>
  </si>
  <si>
    <t>Two baths, two bedrooms, WIC; circuit grouping not shown.</t>
  </si>
  <si>
    <t>New smoke detector symbols</t>
  </si>
  <si>
    <t>Bedroom 3 and 4; hardwired with backup.</t>
  </si>
  <si>
    <t>New carbon monoxide alarm symbol</t>
  </si>
  <si>
    <t>New hall; hardwired with backup.</t>
  </si>
  <si>
    <t>New bathroom fan/light electrical connections</t>
  </si>
  <si>
    <t>Fan symbols; fixtures/fans owned by mechanical below, do not double-count purchase.</t>
  </si>
  <si>
    <t>General bedroom receptacles / AFCI circuits</t>
  </si>
  <si>
    <t>A-3 layout only</t>
  </si>
  <si>
    <t>5 per bedroom for budgeting; receptacle layout and circuit design required.</t>
  </si>
  <si>
    <t>Bedroom ceiling lights</t>
  </si>
  <si>
    <t>No separate bedroom light symbols; one per room budget.</t>
  </si>
  <si>
    <t>Hall ceiling lights</t>
  </si>
  <si>
    <t>Lighting locations not drawn.</t>
  </si>
  <si>
    <t>Walk-in closet light</t>
  </si>
  <si>
    <t>Switch drawn; separate luminaire not drawn.</t>
  </si>
  <si>
    <t>Bath luminaires</t>
  </si>
  <si>
    <t>May be integrated with fans; verify selection before ordering.</t>
  </si>
  <si>
    <t>12/2 NM cable</t>
  </si>
  <si>
    <t>Estimator assumption</t>
  </si>
  <si>
    <t>Bathroom / receptacle circuits, 70 LF average x 5 runs; no circuit routes drawn.</t>
  </si>
  <si>
    <t>14/2 NM cable</t>
  </si>
  <si>
    <t>Lighting: five 40 LF equivalent runs; verify circuit ampacity.</t>
  </si>
  <si>
    <t>14/3 interconnect cable</t>
  </si>
  <si>
    <t>Alarm interconnect / control allowance; routing not shown.</t>
  </si>
  <si>
    <t>Existing dwelling alarm upgrades</t>
  </si>
  <si>
    <t>LOT</t>
  </si>
  <si>
    <t>Field verify</t>
  </si>
  <si>
    <t>A-2 notes</t>
  </si>
  <si>
    <t>Existing bedroom / hall alarm compliance; do not assume existing alarms are compliant.</t>
  </si>
  <si>
    <t>Panel / service capacity and HVAC circuits</t>
  </si>
  <si>
    <t>Unquantified scope</t>
  </si>
  <si>
    <t>A-3; A-6.1</t>
  </si>
  <si>
    <t>No panel ampacity, load calc, breaker schedule or feeder routes; electrician to price separately.</t>
  </si>
  <si>
    <t>Exterior GFI outlets / exterior fixtures / 3-way switches</t>
  </si>
  <si>
    <t>Not drawn</t>
  </si>
  <si>
    <t>No countable symbols in work area; design clarification required.</t>
  </si>
  <si>
    <t>Plumbing</t>
  </si>
  <si>
    <t>New water closets</t>
  </si>
  <si>
    <t>Two new bathrooms; existing bath fixtures excluded.</t>
  </si>
  <si>
    <t>New lavatory basins / faucets</t>
  </si>
  <si>
    <t>One lavatory per new bath.</t>
  </si>
  <si>
    <t>New shower assemblies, valve/head/drain</t>
  </si>
  <si>
    <t>SET</t>
  </si>
  <si>
    <t>Two showers; include waterproof pans and drain connections.</t>
  </si>
  <si>
    <t>Gas tankless water heater</t>
  </si>
  <si>
    <t>A-6.1 CF1R p8 / PDF 8</t>
  </si>
  <si>
    <t>200,000 BTU/hr, UEF 0.81; altered DHW system. Confirm actual replacement scope.</t>
  </si>
  <si>
    <t>Cold-water piping</t>
  </si>
  <si>
    <t>No pipe routes drawn</t>
  </si>
  <si>
    <t>60 LF tie-in trunk + 6 fixture branches x 20 LF; sizes by plumbing design.</t>
  </si>
  <si>
    <t>Hot-water piping</t>
  </si>
  <si>
    <t>40 LF trunk + 4 hot fixture branches x 20 LF; heater location unmarked.</t>
  </si>
  <si>
    <t>Sanitary drain piping, mixed sizes</t>
  </si>
  <si>
    <t>No drain routes drawn</t>
  </si>
  <si>
    <t>40 LF collector + 6 branches averaging 8.33 LF; sewer tie-in location unknown.</t>
  </si>
  <si>
    <t>Vent piping</t>
  </si>
  <si>
    <t>No vent routes drawn</t>
  </si>
  <si>
    <t>Two bath groups x 22.5 LF average; confirm stack routes.</t>
  </si>
  <si>
    <t>Cleanouts</t>
  </si>
  <si>
    <t>Two bath groups + tie-in; verify final layout.</t>
  </si>
  <si>
    <t>Gas piping / heater vent and utility tie-ins</t>
  </si>
  <si>
    <t>A-6.1 / PDF 8</t>
  </si>
  <si>
    <t>Lengths unavailable; check gas load/capacity for furnace and 200k BTU heater.</t>
  </si>
  <si>
    <t>New hose bibbs</t>
  </si>
  <si>
    <t>No hose bibb location shown; do not treat as a measured zero.</t>
  </si>
  <si>
    <t>Mechanical</t>
  </si>
  <si>
    <t>Central gas furnace</t>
  </si>
  <si>
    <t>A-6.1 CF1R p9 / PDF 8</t>
  </si>
  <si>
    <t>80 AFUE; capacity and location not scheduled.</t>
  </si>
  <si>
    <t>Central split AC system</t>
  </si>
  <si>
    <t>SEER2 14.3 / EER2 11.7; tonnage by load calculation.</t>
  </si>
  <si>
    <t>Setback thermostat</t>
  </si>
  <si>
    <t>Heating/cooling system control.</t>
  </si>
  <si>
    <t>Balanced heat/energy recovery ventilation</t>
  </si>
  <si>
    <t>A-6.1 CF1R p11 / PDF 8</t>
  </si>
  <si>
    <t>70 CFM, 0.3 W/CFM, SRE/ASRE 65/70; duct routes not provided.</t>
  </si>
  <si>
    <t>New bathroom exhaust fans</t>
  </si>
  <si>
    <t>Minimum 50 CFM, Energy Star with humidistat; existing bath fan excluded.</t>
  </si>
  <si>
    <t>Bath exhaust duct / terminations</t>
  </si>
  <si>
    <t>A-3 notes</t>
  </si>
  <si>
    <t>2 x 15 LF average; separate terminations, fittings and mounting.</t>
  </si>
  <si>
    <t>New supply registers</t>
  </si>
  <si>
    <t>No duct plan</t>
  </si>
  <si>
    <t>Two bedrooms + two baths; HVAC designer to confirm.</t>
  </si>
  <si>
    <t>New/extended supply ducts</t>
  </si>
  <si>
    <t>4 branches averaging 25 LF; duct size and total scope subject to design.</t>
  </si>
  <si>
    <t>Return-air / transfer-air modifications</t>
  </si>
  <si>
    <t>Existing/new ducts indicated; no route or register schedule.</t>
  </si>
  <si>
    <t>AC refrigerant line, condensate and ventilation ducting</t>
  </si>
  <si>
    <t>Equipment positions unknown; contractor layout needed for lengths.</t>
  </si>
  <si>
    <t>HERS testing / commissioning</t>
  </si>
  <si>
    <t>Stated requirement</t>
  </si>
  <si>
    <t>A-6; A-6.1</t>
  </si>
  <si>
    <t>Refrigerant-charge verification and duct leakage testing indicated.</t>
  </si>
  <si>
    <t>Insulation</t>
  </si>
  <si>
    <t>R-13 new exterior wall insulation</t>
  </si>
  <si>
    <t>A-6.1 CF1R p7 / PDF 8</t>
  </si>
  <si>
    <t>2x4 walls at16 in OC; opening deductions.</t>
  </si>
  <si>
    <t>R-30 addition ceiling insulation</t>
  </si>
  <si>
    <t>Addition ceiling only.</t>
  </si>
  <si>
    <t>Openings</t>
  </si>
  <si>
    <t>New 3x4 single-hung windows</t>
  </si>
  <si>
    <t>Tag 1; check egress specifications before selection.</t>
  </si>
  <si>
    <t>New 3x1.5 slider windows</t>
  </si>
  <si>
    <t>Tag 2; one per bath.</t>
  </si>
  <si>
    <t>New 2 ft 8 in x 6 ft 8 in hinged doors</t>
  </si>
  <si>
    <t>Schedule count excludes shower enclosures and closet opening.</t>
  </si>
  <si>
    <t>Shower glass enclosures</t>
  </si>
  <si>
    <t>Counted / selection</t>
  </si>
  <si>
    <t>Tempered glass; final sizes by field measure.</t>
  </si>
  <si>
    <t>Measurement basis - 11653 Rivera Road</t>
  </si>
  <si>
    <t>Input / measurement</t>
  </si>
  <si>
    <t>Value</t>
  </si>
  <si>
    <t>New addition gross floor area</t>
  </si>
  <si>
    <t>A-1 / PDF 1; A-6 / PDF 7</t>
  </si>
  <si>
    <t>Authoritative project area; includes wall footprints.</t>
  </si>
  <si>
    <t>Existing conditioned house</t>
  </si>
  <si>
    <t>Existing house; garage excluded.</t>
  </si>
  <si>
    <t>Wall height</t>
  </si>
  <si>
    <t>FT</t>
  </si>
  <si>
    <t>A-5 / PDF 6; A-6 / PDF 7</t>
  </si>
  <si>
    <t>Typical ceiling height.</t>
  </si>
  <si>
    <t>New exposed exterior footing length</t>
  </si>
  <si>
    <t>S-2 / PDF 11; A-6 CF1R p6</t>
  </si>
  <si>
    <t>Trace of exposed stepped perimeter; energy report also lists 77 LF slab exposed perimeter.</t>
  </si>
  <si>
    <t>Interior longitudinal footing</t>
  </si>
  <si>
    <t>Thickened line beneath east hall wall; section not independently specified.</t>
  </si>
  <si>
    <t>Slab connection / turned-down edge</t>
  </si>
  <si>
    <t>S-2 details 4-5 / PDF 11</t>
  </si>
  <si>
    <t>Across existing-house interface; separate from exposed perimeter.</t>
  </si>
  <si>
    <t>New partitions within addition</t>
  </si>
  <si>
    <t>Hall sides, bathroom walls and closet partitions; includes openings.</t>
  </si>
  <si>
    <t>New partitions in existing remodel</t>
  </si>
  <si>
    <t>Walk-in closet and pantry alterations; retained walls excluded as practicable.</t>
  </si>
  <si>
    <t>New exterior wall gross area</t>
  </si>
  <si>
    <t>A-6 CF1R p4 / PDF 7</t>
  </si>
  <si>
    <t>203 left + 207 rear + 203 right; differs slightly from scaled length x height.</t>
  </si>
  <si>
    <t>New window opening area</t>
  </si>
  <si>
    <t>Count x schedule</t>
  </si>
  <si>
    <t>4 windows x 3x4 + 2 windows x 3x1.5; energy model lists 58 SF.</t>
  </si>
  <si>
    <t>New hinged interior doors</t>
  </si>
  <si>
    <t>2 baths, 2 bedrooms, hall door and walk-in closet; excludes closet opening.</t>
  </si>
  <si>
    <t>Hinged door width</t>
  </si>
  <si>
    <t>A-3 door schedule / PDF 4</t>
  </si>
  <si>
    <t>Confirm required accessible clear openings before procurement.</t>
  </si>
  <si>
    <t>Hinged door height</t>
  </si>
  <si>
    <t>Scheduled 6 ft 8 in.</t>
  </si>
  <si>
    <t>Shower wall finish area per shower</t>
  </si>
  <si>
    <t>A-3 keynotes / PDF 4</t>
  </si>
  <si>
    <t>3x5 shower assumed; (5+3+3) x 6 ft high; confirm enclosure dimensions.</t>
  </si>
  <si>
    <t>Remodel ceiling patch / replacement</t>
  </si>
  <si>
    <t>Existing walk-in closet and pantry work; separate from 563 SF addition.</t>
  </si>
  <si>
    <t>Addition finished floor area</t>
  </si>
  <si>
    <t>Room clear-floor estimate; 563 SF gross area is not finish flooring.</t>
  </si>
  <si>
    <t>New bath floor area, including showers</t>
  </si>
  <si>
    <t>Dimensioned approx.</t>
  </si>
  <si>
    <t>2 x 10 ft 10 in x 5 ft; total includes both shower footprints.</t>
  </si>
  <si>
    <t>Shower floor per shower</t>
  </si>
  <si>
    <t>3x5 assumed; included in bathroom floor, not additive.</t>
  </si>
  <si>
    <t>Existing remodel finish floor allowance</t>
  </si>
  <si>
    <t>Walk-in closet + pantry; choose finish to match owner selection.</t>
  </si>
  <si>
    <t>Addition roof horizontal projection</t>
  </si>
  <si>
    <t>Traced roof outline above addition, includes eaves; excludes existing-house tie-in overlap.</t>
  </si>
  <si>
    <t>Full house roof horizontal projection</t>
  </si>
  <si>
    <t>Traced complete roof outline; excludes detached garage.</t>
  </si>
  <si>
    <t>Addition roof pitch</t>
  </si>
  <si>
    <t>IN/12</t>
  </si>
  <si>
    <t>A-4; A-6 / PDF 5,7</t>
  </si>
  <si>
    <t>Some rear transition planes labeled 4.5:12; 5:12 used for addition allowance.</t>
  </si>
  <si>
    <t>Full roof average pitch</t>
  </si>
  <si>
    <t>Average of 4.5:12 and 5:12 planes; not a plane-by-plane takeoff.</t>
  </si>
  <si>
    <t>Drywall waste</t>
  </si>
  <si>
    <t>Ratio</t>
  </si>
  <si>
    <t>Material overage; installed area separately shown.</t>
  </si>
  <si>
    <t>Roofing waste</t>
  </si>
  <si>
    <t>Hip/valley cutting allowance.</t>
  </si>
  <si>
    <t>Flooring waste</t>
  </si>
  <si>
    <t>Confirm pattern and material.</t>
  </si>
  <si>
    <t>Exterior footing width</t>
  </si>
  <si>
    <t>S-2 detail 1 / PDF 11</t>
  </si>
  <si>
    <t>12 in minimum; subject to actual soils / engineer requirements.</t>
  </si>
  <si>
    <t>Exterior footing depth</t>
  </si>
  <si>
    <t>24 in minimum; concrete budget depth assumed equal to detail depth.</t>
  </si>
  <si>
    <t>Slab budgeting thickness</t>
  </si>
  <si>
    <t>IN</t>
  </si>
  <si>
    <t>S-2 details 1 and 5 / PDF 11</t>
  </si>
  <si>
    <t>Detail 1 says 6 in; detail 5 says 4 in. Use 6 in for budget only; resolve before pour.</t>
  </si>
  <si>
    <t>Slab connection edge depth</t>
  </si>
  <si>
    <t>S-2 detail 5 / PDF 11</t>
  </si>
  <si>
    <t>18 in deep, 12 in wide; slab volume overlap removed in concrete formula.</t>
  </si>
  <si>
    <t>Pad footing count</t>
  </si>
  <si>
    <t>Two pads inside existing house. Plan labels 1.5x1.5 ft; detail 6 says 24 in square.</t>
  </si>
  <si>
    <t>Pad budget side</t>
  </si>
  <si>
    <t>S-2 plan and detail 6 / PDF 11</t>
  </si>
  <si>
    <t>Use larger 2x2 ft size pending engineer clarification.</t>
  </si>
  <si>
    <t>Pad depth</t>
  </si>
  <si>
    <t>S-2 detail 6 / PDF 11</t>
  </si>
  <si>
    <t>24 in minimum.</t>
  </si>
  <si>
    <t>Aggregate base depth</t>
  </si>
  <si>
    <t>4 in clean aggregate.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</si>
</sst>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>
    <font>
      <sz val="11"/>
      <name val="Carlito"/>
    </font>
    <font>
      <sz val="10"/>
      <color rgb="FF243447"/>
      <name val="Arial"/>
    </font>
    <font>
      <b/>
      <sz val="16"/>
      <color rgb="FF17324D"/>
      <name val="Arial"/>
    </font>
    <font>
      <b/>
      <sz val="10"/>
      <color rgb="FFFFFFFF"/>
      <name val="Arial"/>
    </font>
    <font>
      <b/>
      <sz val="12"/>
      <color rgb="FF243447"/>
      <name val="Arial"/>
    </font>
    <font>
      <sz val="10"/>
      <color rgb="FF2163A6"/>
      <name val="Arial"/>
    </font>
    <font>
      <b/>
      <sz val="10"/>
      <color rgb="FF243447"/>
      <name val="Arial"/>
    </font>
    <font>
      <b/>
      <sz val="10"/>
      <color rgb="FF2163A6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8EEF5"/>
      </patternFill>
    </fill>
    <fill>
      <patternFill patternType="solid">
        <fgColor rgb="FFFFF0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164" fontId="1" fillId="0" borderId="0" xfId="0" applyNumberFormat="1" applyFont="1"/>
    <xf numFmtId="0" fontId="1" fillId="0" borderId="0" xfId="0" applyFont="1" applyAlignment="1">
      <alignment wrapText="1"/>
    </xf>
    <xf numFmtId="0" fontId="4" fillId="0" borderId="0" xfId="0" applyFont="1"/>
    <xf numFmtId="9" fontId="5" fillId="0" borderId="0" xfId="0" applyNumberFormat="1" applyFont="1"/>
    <xf numFmtId="0" fontId="6" fillId="3" borderId="0" xfId="0" applyFont="1" applyFill="1"/>
    <xf numFmtId="164" fontId="6" fillId="3" borderId="0" xfId="0" applyNumberFormat="1" applyFont="1" applyFill="1"/>
    <xf numFmtId="9" fontId="7" fillId="3" borderId="0" xfId="0" applyNumberFormat="1" applyFont="1" applyFill="1"/>
    <xf numFmtId="0" fontId="1" fillId="4" borderId="0" xfId="0" applyFont="1" applyFill="1"/>
    <xf numFmtId="164" fontId="5" fillId="0" borderId="0" xfId="0" applyNumberFormat="1" applyFont="1"/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showGridLines="0" tabSelected="1" workbookViewId="0">
      <pane ySplit="6" topLeftCell="A7" activePane="bottomLeft" state="frozen"/>
      <selection pane="bottomLeft"/>
    </sheetView>
  </sheetViews>
  <sheetFormatPr defaultRowHeight="14.25"/>
  <cols>
    <col min="1" max="1" width="47" customWidth="1"/>
    <col min="2" max="2" width="14" customWidth="1"/>
    <col min="3" max="3" width="10" customWidth="1"/>
    <col min="4" max="4" width="24" customWidth="1"/>
    <col min="5" max="5" width="80" customWidth="1"/>
  </cols>
  <sheetData>
    <row r="1" spans="1:5" ht="30" customHeight="1">
      <c r="A1" s="1"/>
      <c r="B1" s="1"/>
      <c r="C1" s="1"/>
      <c r="D1" s="1"/>
      <c r="E1" s="1"/>
    </row>
    <row r="2" spans="1:5" ht="33.950000000000003" customHeight="1">
      <c r="A2" s="2" t="s">
        <v>0</v>
      </c>
      <c r="B2" s="2"/>
      <c r="C2" s="2"/>
      <c r="D2" s="2"/>
      <c r="E2" s="2"/>
    </row>
    <row r="3" spans="1:5" ht="30" customHeight="1">
      <c r="A3" s="1"/>
      <c r="B3" s="1"/>
      <c r="C3" s="1"/>
      <c r="D3" s="1"/>
      <c r="E3" s="1"/>
    </row>
    <row r="4" spans="1:5" ht="30" customHeight="1">
      <c r="A4" s="1" t="s">
        <v>1</v>
      </c>
      <c r="B4" s="1"/>
      <c r="C4" s="1"/>
      <c r="D4" s="1"/>
      <c r="E4" s="1"/>
    </row>
    <row r="5" spans="1:5" ht="30" customHeight="1">
      <c r="A5" s="1"/>
      <c r="B5" s="1"/>
      <c r="C5" s="1"/>
      <c r="D5" s="1"/>
      <c r="E5" s="1"/>
    </row>
    <row r="6" spans="1:5" ht="32.1" customHeight="1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</row>
    <row r="7" spans="1:5" ht="30" customHeight="1">
      <c r="A7" s="1" t="s">
        <v>7</v>
      </c>
      <c r="B7" s="4">
        <f>'Trade takeoff'!D11</f>
        <v>563</v>
      </c>
      <c r="C7" s="1" t="s">
        <v>8</v>
      </c>
      <c r="D7" s="1" t="s">
        <v>9</v>
      </c>
      <c r="E7" s="5" t="s">
        <v>10</v>
      </c>
    </row>
    <row r="8" spans="1:5" ht="30" customHeight="1">
      <c r="A8" s="1" t="s">
        <v>11</v>
      </c>
      <c r="B8" s="4">
        <f>'Trade takeoff'!D10</f>
        <v>125.1</v>
      </c>
      <c r="C8" s="1" t="s">
        <v>12</v>
      </c>
      <c r="D8" s="1" t="s">
        <v>13</v>
      </c>
      <c r="E8" s="5" t="s">
        <v>14</v>
      </c>
    </row>
    <row r="9" spans="1:5" ht="30" customHeight="1">
      <c r="A9" s="1" t="s">
        <v>15</v>
      </c>
      <c r="B9" s="4">
        <f>'Trade takeoff'!D14</f>
        <v>2</v>
      </c>
      <c r="C9" s="1" t="s">
        <v>16</v>
      </c>
      <c r="D9" s="1" t="s">
        <v>17</v>
      </c>
      <c r="E9" s="5" t="s">
        <v>18</v>
      </c>
    </row>
    <row r="10" spans="1:5" ht="30" customHeight="1">
      <c r="A10" s="1" t="s">
        <v>19</v>
      </c>
      <c r="B10" s="4">
        <f>'Trade takeoff'!D16</f>
        <v>17.49074074074074</v>
      </c>
      <c r="C10" s="1" t="s">
        <v>20</v>
      </c>
      <c r="D10" s="1" t="s">
        <v>21</v>
      </c>
      <c r="E10" s="5" t="s">
        <v>22</v>
      </c>
    </row>
    <row r="11" spans="1:5" ht="30" customHeight="1">
      <c r="A11" s="1" t="s">
        <v>23</v>
      </c>
      <c r="B11" s="4">
        <f>'Trade takeoff'!D25</f>
        <v>1276</v>
      </c>
      <c r="C11" s="1" t="s">
        <v>8</v>
      </c>
      <c r="D11" s="1" t="s">
        <v>13</v>
      </c>
      <c r="E11" s="5" t="s">
        <v>24</v>
      </c>
    </row>
    <row r="12" spans="1:5" ht="30" customHeight="1">
      <c r="A12" s="1" t="s">
        <v>25</v>
      </c>
      <c r="B12" s="4">
        <f>'Trade takeoff'!D31</f>
        <v>563</v>
      </c>
      <c r="C12" s="1" t="s">
        <v>8</v>
      </c>
      <c r="D12" s="1" t="s">
        <v>26</v>
      </c>
      <c r="E12" s="5" t="s">
        <v>27</v>
      </c>
    </row>
    <row r="13" spans="1:5" ht="30" customHeight="1">
      <c r="A13" s="1" t="s">
        <v>28</v>
      </c>
      <c r="B13" s="4">
        <v>0</v>
      </c>
      <c r="C13" s="1" t="s">
        <v>8</v>
      </c>
      <c r="D13" s="1" t="s">
        <v>29</v>
      </c>
      <c r="E13" s="5" t="s">
        <v>30</v>
      </c>
    </row>
    <row r="14" spans="1:5" ht="30" customHeight="1">
      <c r="A14" s="1" t="s">
        <v>31</v>
      </c>
      <c r="B14" s="4">
        <f>'Trade takeoff'!D37</f>
        <v>2158.666666666667</v>
      </c>
      <c r="C14" s="1" t="s">
        <v>8</v>
      </c>
      <c r="D14" s="1" t="s">
        <v>13</v>
      </c>
      <c r="E14" s="5" t="s">
        <v>32</v>
      </c>
    </row>
    <row r="15" spans="1:5" ht="30" customHeight="1">
      <c r="A15" s="1" t="s">
        <v>33</v>
      </c>
      <c r="B15" s="4">
        <f>'Trade takeoff'!D40</f>
        <v>556</v>
      </c>
      <c r="C15" s="1" t="s">
        <v>8</v>
      </c>
      <c r="D15" s="1" t="s">
        <v>34</v>
      </c>
      <c r="E15" s="5" t="s">
        <v>35</v>
      </c>
    </row>
    <row r="16" spans="1:5" ht="30" customHeight="1">
      <c r="A16" s="1" t="s">
        <v>36</v>
      </c>
      <c r="B16" s="4">
        <f>'Trade takeoff'!D45</f>
        <v>1715.4104709273993</v>
      </c>
      <c r="C16" s="1" t="s">
        <v>8</v>
      </c>
      <c r="D16" s="1" t="s">
        <v>13</v>
      </c>
      <c r="E16" s="5" t="s">
        <v>37</v>
      </c>
    </row>
    <row r="17" spans="1:5" ht="30" customHeight="1">
      <c r="A17" s="1" t="s">
        <v>38</v>
      </c>
      <c r="B17" s="4">
        <f>'Trade takeoff'!D44</f>
        <v>655.41666666666663</v>
      </c>
      <c r="C17" s="1" t="s">
        <v>8</v>
      </c>
      <c r="D17" s="1" t="s">
        <v>13</v>
      </c>
      <c r="E17" s="5" t="s">
        <v>39</v>
      </c>
    </row>
    <row r="18" spans="1:5" ht="30" customHeight="1">
      <c r="A18" s="1" t="s">
        <v>40</v>
      </c>
      <c r="B18" s="4">
        <f>'Trade takeoff'!D52</f>
        <v>525</v>
      </c>
      <c r="C18" s="1" t="s">
        <v>8</v>
      </c>
      <c r="D18" s="1" t="s">
        <v>13</v>
      </c>
      <c r="E18" s="5" t="s">
        <v>41</v>
      </c>
    </row>
    <row r="19" spans="1:5" ht="30" customHeight="1">
      <c r="A19" s="1" t="s">
        <v>42</v>
      </c>
      <c r="B19" s="4"/>
      <c r="C19" s="1"/>
      <c r="D19" s="1" t="s">
        <v>43</v>
      </c>
      <c r="E19" s="5" t="s">
        <v>44</v>
      </c>
    </row>
    <row r="20" spans="1:5" ht="30" customHeight="1">
      <c r="A20" s="1" t="s">
        <v>45</v>
      </c>
      <c r="B20" s="4"/>
      <c r="C20" s="1"/>
      <c r="D20" s="1" t="s">
        <v>46</v>
      </c>
      <c r="E20" s="5" t="s">
        <v>47</v>
      </c>
    </row>
    <row r="21" spans="1:5" ht="30" customHeight="1">
      <c r="A21" s="1" t="s">
        <v>48</v>
      </c>
      <c r="B21" s="4"/>
      <c r="C21" s="1"/>
      <c r="D21" s="1" t="s">
        <v>49</v>
      </c>
      <c r="E21" s="5" t="s">
        <v>50</v>
      </c>
    </row>
    <row r="22" spans="1:5" ht="30" customHeight="1">
      <c r="A22" s="1"/>
      <c r="B22" s="1"/>
      <c r="C22" s="1"/>
      <c r="D22" s="1"/>
      <c r="E22" s="1"/>
    </row>
    <row r="23" spans="1:5" ht="30" customHeight="1">
      <c r="A23" s="1"/>
      <c r="B23" s="1"/>
      <c r="C23" s="1"/>
      <c r="D23" s="1"/>
      <c r="E23" s="1"/>
    </row>
    <row r="24" spans="1:5" ht="30" customHeight="1">
      <c r="A24" s="6" t="s">
        <v>51</v>
      </c>
      <c r="B24" s="1"/>
      <c r="C24" s="1"/>
      <c r="D24" s="1"/>
      <c r="E24" s="1"/>
    </row>
    <row r="25" spans="1:5" ht="30" customHeight="1">
      <c r="A25" s="1"/>
      <c r="B25" s="1"/>
      <c r="C25" s="1"/>
      <c r="D25" s="1"/>
      <c r="E25" s="1"/>
    </row>
    <row r="26" spans="1:5" ht="26.1" customHeight="1">
      <c r="A26" s="1" t="s">
        <v>52</v>
      </c>
      <c r="B26" s="1"/>
      <c r="C26" s="1"/>
      <c r="D26" s="1"/>
      <c r="E26" s="1"/>
    </row>
    <row r="27" spans="1:5" ht="26.1" customHeight="1">
      <c r="A27" s="1" t="s">
        <v>53</v>
      </c>
      <c r="B27" s="1"/>
      <c r="C27" s="1"/>
      <c r="D27" s="1"/>
      <c r="E27" s="1"/>
    </row>
    <row r="28" spans="1:5" ht="26.1" customHeight="1">
      <c r="A28" s="1" t="s">
        <v>54</v>
      </c>
      <c r="B28" s="1"/>
      <c r="C28" s="1"/>
      <c r="D28" s="1"/>
      <c r="E28" s="1"/>
    </row>
    <row r="29" spans="1:5" ht="26.1" customHeight="1">
      <c r="A29" s="1" t="s">
        <v>55</v>
      </c>
      <c r="B29" s="1"/>
      <c r="C29" s="1"/>
      <c r="D29" s="1"/>
      <c r="E29" s="1"/>
    </row>
    <row r="30" spans="1:5" ht="26.1" customHeight="1">
      <c r="A30" s="1" t="s">
        <v>56</v>
      </c>
      <c r="B30" s="1"/>
      <c r="C30" s="1"/>
      <c r="D30" s="1"/>
      <c r="E30" s="1"/>
    </row>
    <row r="31" spans="1:5" ht="26.1" customHeight="1">
      <c r="A31" s="1" t="s">
        <v>57</v>
      </c>
      <c r="B31" s="1"/>
      <c r="C31" s="1"/>
      <c r="D31" s="1"/>
      <c r="E31" s="1"/>
    </row>
    <row r="32" spans="1:5" ht="26.1" customHeight="1">
      <c r="A32" s="1" t="s">
        <v>58</v>
      </c>
      <c r="B32" s="1"/>
      <c r="C32" s="1"/>
      <c r="D32" s="1"/>
      <c r="E32" s="1"/>
    </row>
    <row r="33" spans="1:5" ht="26.1" customHeight="1">
      <c r="A33" s="1" t="s">
        <v>59</v>
      </c>
      <c r="B33" s="1"/>
      <c r="C33" s="1"/>
      <c r="D33" s="1"/>
      <c r="E33" s="1"/>
    </row>
    <row r="34" spans="1:5" ht="26.1" customHeight="1">
      <c r="A34" s="1" t="s">
        <v>60</v>
      </c>
      <c r="B34" s="1"/>
      <c r="C34" s="1"/>
      <c r="D34" s="1"/>
      <c r="E34" s="1"/>
    </row>
    <row r="35" spans="1:5" ht="26.1" customHeight="1">
      <c r="A35" s="1" t="s">
        <v>61</v>
      </c>
      <c r="B35" s="1"/>
      <c r="C35" s="1"/>
      <c r="D35" s="1"/>
      <c r="E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0" customWidth="1"/>
    <col min="2" max="2" width="57" customWidth="1"/>
    <col min="3" max="3" width="10" customWidth="1"/>
    <col min="4" max="4" width="16" customWidth="1"/>
    <col min="5" max="5" width="12" customWidth="1"/>
    <col min="6" max="6" width="16" customWidth="1"/>
    <col min="7" max="7" width="25" customWidth="1"/>
    <col min="8" max="8" width="30" customWidth="1"/>
    <col min="9" max="9" width="3" customWidth="1"/>
    <col min="10" max="10" width="110" customWidth="1"/>
  </cols>
  <sheetData>
    <row r="1" spans="1:10" ht="30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3.950000000000003" customHeight="1">
      <c r="A2" s="2" t="s">
        <v>62</v>
      </c>
      <c r="B2" s="2"/>
      <c r="C2" s="2"/>
      <c r="D2" s="2"/>
      <c r="E2" s="2"/>
      <c r="F2" s="2"/>
      <c r="G2" s="2"/>
      <c r="H2" s="2"/>
      <c r="I2" s="2"/>
      <c r="J2" s="2"/>
    </row>
    <row r="3" spans="1:10" ht="30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1" t="s">
        <v>63</v>
      </c>
      <c r="B4" s="1"/>
      <c r="C4" s="1"/>
      <c r="D4" s="1"/>
      <c r="E4" s="1"/>
      <c r="F4" s="1"/>
      <c r="G4" s="1"/>
      <c r="H4" s="1"/>
      <c r="I4" s="1"/>
      <c r="J4" s="1"/>
    </row>
    <row r="5" spans="1:10" ht="30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2.1" customHeight="1">
      <c r="A6" s="3" t="s">
        <v>64</v>
      </c>
      <c r="B6" s="3" t="s">
        <v>65</v>
      </c>
      <c r="C6" s="3" t="s">
        <v>4</v>
      </c>
      <c r="D6" s="3" t="s">
        <v>66</v>
      </c>
      <c r="E6" s="3" t="s">
        <v>67</v>
      </c>
      <c r="F6" s="3" t="s">
        <v>68</v>
      </c>
      <c r="G6" s="3" t="s">
        <v>5</v>
      </c>
      <c r="H6" s="3" t="s">
        <v>69</v>
      </c>
      <c r="I6" s="3"/>
      <c r="J6" s="3" t="s">
        <v>70</v>
      </c>
    </row>
    <row r="7" spans="1:10" ht="30" customHeight="1">
      <c r="A7" s="1" t="s">
        <v>71</v>
      </c>
      <c r="B7" s="1" t="s">
        <v>72</v>
      </c>
      <c r="C7" s="1" t="s">
        <v>12</v>
      </c>
      <c r="D7" s="4">
        <f>Measurements!B8</f>
        <v>77</v>
      </c>
      <c r="E7" s="7">
        <v>0</v>
      </c>
      <c r="F7" s="4">
        <f t="shared" ref="F7:F38" si="0">D7*(1+E7)</f>
        <v>77</v>
      </c>
      <c r="G7" s="1" t="s">
        <v>73</v>
      </c>
      <c r="H7" s="1" t="s">
        <v>74</v>
      </c>
      <c r="I7" s="1"/>
      <c r="J7" s="1" t="s">
        <v>75</v>
      </c>
    </row>
    <row r="8" spans="1:10" ht="30" customHeight="1">
      <c r="A8" s="1" t="s">
        <v>71</v>
      </c>
      <c r="B8" s="1" t="s">
        <v>76</v>
      </c>
      <c r="C8" s="1" t="s">
        <v>12</v>
      </c>
      <c r="D8" s="4">
        <f>Measurements!B9</f>
        <v>22.3</v>
      </c>
      <c r="E8" s="7">
        <v>0</v>
      </c>
      <c r="F8" s="4">
        <f t="shared" si="0"/>
        <v>22.3</v>
      </c>
      <c r="G8" s="1" t="s">
        <v>73</v>
      </c>
      <c r="H8" s="1" t="s">
        <v>74</v>
      </c>
      <c r="I8" s="1"/>
      <c r="J8" s="1" t="s">
        <v>77</v>
      </c>
    </row>
    <row r="9" spans="1:10" ht="30" customHeight="1">
      <c r="A9" s="1" t="s">
        <v>71</v>
      </c>
      <c r="B9" s="1" t="s">
        <v>78</v>
      </c>
      <c r="C9" s="1" t="s">
        <v>12</v>
      </c>
      <c r="D9" s="4">
        <f>Measurements!B10</f>
        <v>25.8</v>
      </c>
      <c r="E9" s="7">
        <v>0</v>
      </c>
      <c r="F9" s="4">
        <f t="shared" si="0"/>
        <v>25.8</v>
      </c>
      <c r="G9" s="1" t="s">
        <v>73</v>
      </c>
      <c r="H9" s="1" t="s">
        <v>79</v>
      </c>
      <c r="I9" s="1"/>
      <c r="J9" s="1" t="s">
        <v>80</v>
      </c>
    </row>
    <row r="10" spans="1:10" ht="30" customHeight="1">
      <c r="A10" s="8" t="s">
        <v>71</v>
      </c>
      <c r="B10" s="8" t="s">
        <v>81</v>
      </c>
      <c r="C10" s="8" t="s">
        <v>12</v>
      </c>
      <c r="D10" s="9">
        <f>SUM(D7:D9)</f>
        <v>125.1</v>
      </c>
      <c r="E10" s="10">
        <v>0</v>
      </c>
      <c r="F10" s="9">
        <f t="shared" si="0"/>
        <v>125.1</v>
      </c>
      <c r="G10" s="8" t="s">
        <v>34</v>
      </c>
      <c r="H10" s="8" t="s">
        <v>74</v>
      </c>
      <c r="I10" s="1"/>
      <c r="J10" s="1" t="s">
        <v>82</v>
      </c>
    </row>
    <row r="11" spans="1:10" ht="30" customHeight="1">
      <c r="A11" s="1" t="s">
        <v>71</v>
      </c>
      <c r="B11" s="1" t="s">
        <v>83</v>
      </c>
      <c r="C11" s="1" t="s">
        <v>8</v>
      </c>
      <c r="D11" s="4">
        <f>Measurements!B5</f>
        <v>563</v>
      </c>
      <c r="E11" s="7">
        <v>0</v>
      </c>
      <c r="F11" s="4">
        <f t="shared" si="0"/>
        <v>563</v>
      </c>
      <c r="G11" s="1" t="s">
        <v>9</v>
      </c>
      <c r="H11" s="1" t="s">
        <v>84</v>
      </c>
      <c r="I11" s="1"/>
      <c r="J11" s="1" t="s">
        <v>85</v>
      </c>
    </row>
    <row r="12" spans="1:10" ht="30" customHeight="1">
      <c r="A12" s="1" t="s">
        <v>71</v>
      </c>
      <c r="B12" s="1" t="s">
        <v>86</v>
      </c>
      <c r="C12" s="1" t="s">
        <v>20</v>
      </c>
      <c r="D12" s="4">
        <f>D11*Measurements!B33/12/27</f>
        <v>10.425925925925926</v>
      </c>
      <c r="E12" s="7">
        <v>0</v>
      </c>
      <c r="F12" s="4">
        <f t="shared" si="0"/>
        <v>10.425925925925926</v>
      </c>
      <c r="G12" s="11" t="s">
        <v>87</v>
      </c>
      <c r="H12" s="1" t="s">
        <v>88</v>
      </c>
      <c r="I12" s="1"/>
      <c r="J12" s="1" t="s">
        <v>89</v>
      </c>
    </row>
    <row r="13" spans="1:10" ht="30" customHeight="1">
      <c r="A13" s="1" t="s">
        <v>71</v>
      </c>
      <c r="B13" s="1" t="s">
        <v>90</v>
      </c>
      <c r="C13" s="1" t="s">
        <v>20</v>
      </c>
      <c r="D13" s="4">
        <f>(D7+D8)*Measurements!B31*(Measurements!B32-Measurements!B33/12)/27+D9*Measurements!B31*(Measurements!B34-Measurements!B33/12)/27</f>
        <v>6.4722222222222223</v>
      </c>
      <c r="E13" s="7">
        <v>0</v>
      </c>
      <c r="F13" s="4">
        <f t="shared" si="0"/>
        <v>6.4722222222222223</v>
      </c>
      <c r="G13" s="11" t="s">
        <v>21</v>
      </c>
      <c r="H13" s="1" t="s">
        <v>74</v>
      </c>
      <c r="I13" s="1"/>
      <c r="J13" s="1" t="s">
        <v>91</v>
      </c>
    </row>
    <row r="14" spans="1:10" ht="30" customHeight="1">
      <c r="A14" s="1" t="s">
        <v>71</v>
      </c>
      <c r="B14" s="1" t="s">
        <v>15</v>
      </c>
      <c r="C14" s="1" t="s">
        <v>16</v>
      </c>
      <c r="D14" s="4">
        <f>Measurements!B35</f>
        <v>2</v>
      </c>
      <c r="E14" s="7">
        <v>0</v>
      </c>
      <c r="F14" s="4">
        <f t="shared" si="0"/>
        <v>2</v>
      </c>
      <c r="G14" s="1" t="s">
        <v>17</v>
      </c>
      <c r="H14" s="1" t="s">
        <v>74</v>
      </c>
      <c r="I14" s="1"/>
      <c r="J14" s="1" t="s">
        <v>92</v>
      </c>
    </row>
    <row r="15" spans="1:10" ht="30" customHeight="1">
      <c r="A15" s="1" t="s">
        <v>71</v>
      </c>
      <c r="B15" s="1" t="s">
        <v>93</v>
      </c>
      <c r="C15" s="1" t="s">
        <v>20</v>
      </c>
      <c r="D15" s="4">
        <f>Measurements!B35*Measurements!B36*Measurements!B36*Measurements!B37/27</f>
        <v>0.59259259259259256</v>
      </c>
      <c r="E15" s="7">
        <v>0</v>
      </c>
      <c r="F15" s="4">
        <f t="shared" si="0"/>
        <v>0.59259259259259256</v>
      </c>
      <c r="G15" s="11" t="s">
        <v>87</v>
      </c>
      <c r="H15" s="1" t="s">
        <v>94</v>
      </c>
      <c r="I15" s="1"/>
      <c r="J15" s="1" t="s">
        <v>95</v>
      </c>
    </row>
    <row r="16" spans="1:10" ht="30" customHeight="1">
      <c r="A16" s="8" t="s">
        <v>71</v>
      </c>
      <c r="B16" s="8" t="s">
        <v>96</v>
      </c>
      <c r="C16" s="8" t="s">
        <v>20</v>
      </c>
      <c r="D16" s="9">
        <f>D12+D13+D15</f>
        <v>17.49074074074074</v>
      </c>
      <c r="E16" s="10">
        <v>0.1</v>
      </c>
      <c r="F16" s="9">
        <f t="shared" si="0"/>
        <v>19.239814814814817</v>
      </c>
      <c r="G16" s="8" t="s">
        <v>21</v>
      </c>
      <c r="H16" s="8" t="s">
        <v>74</v>
      </c>
      <c r="I16" s="1"/>
      <c r="J16" s="1" t="s">
        <v>97</v>
      </c>
    </row>
    <row r="17" spans="1:10" ht="30" customHeight="1">
      <c r="A17" s="1" t="s">
        <v>71</v>
      </c>
      <c r="B17" s="1" t="s">
        <v>98</v>
      </c>
      <c r="C17" s="1" t="s">
        <v>20</v>
      </c>
      <c r="D17" s="4">
        <f>Measurements!B5*Measurements!B38/12/27</f>
        <v>6.9506172839506171</v>
      </c>
      <c r="E17" s="7">
        <v>0.1</v>
      </c>
      <c r="F17" s="4">
        <f t="shared" si="0"/>
        <v>7.6456790123456795</v>
      </c>
      <c r="G17" s="1" t="s">
        <v>34</v>
      </c>
      <c r="H17" s="1" t="s">
        <v>88</v>
      </c>
      <c r="I17" s="1"/>
      <c r="J17" s="1" t="s">
        <v>99</v>
      </c>
    </row>
    <row r="18" spans="1:10" ht="30" customHeight="1">
      <c r="A18" s="1" t="s">
        <v>71</v>
      </c>
      <c r="B18" s="1" t="s">
        <v>100</v>
      </c>
      <c r="C18" s="1" t="s">
        <v>8</v>
      </c>
      <c r="D18" s="4">
        <f>Measurements!B5</f>
        <v>563</v>
      </c>
      <c r="E18" s="7">
        <v>0.1</v>
      </c>
      <c r="F18" s="4">
        <f t="shared" si="0"/>
        <v>619.30000000000007</v>
      </c>
      <c r="G18" s="11" t="s">
        <v>87</v>
      </c>
      <c r="H18" s="1" t="s">
        <v>88</v>
      </c>
      <c r="I18" s="1"/>
      <c r="J18" s="1" t="s">
        <v>101</v>
      </c>
    </row>
    <row r="19" spans="1:10" ht="30" customHeight="1">
      <c r="A19" s="1" t="s">
        <v>71</v>
      </c>
      <c r="B19" s="1" t="s">
        <v>102</v>
      </c>
      <c r="C19" s="1" t="s">
        <v>12</v>
      </c>
      <c r="D19" s="4">
        <f>Measurements!B5*2/(16/12)</f>
        <v>844.5</v>
      </c>
      <c r="E19" s="7">
        <v>0.15</v>
      </c>
      <c r="F19" s="4">
        <f t="shared" si="0"/>
        <v>971.17499999999995</v>
      </c>
      <c r="G19" s="11" t="s">
        <v>103</v>
      </c>
      <c r="H19" s="1" t="s">
        <v>74</v>
      </c>
      <c r="I19" s="1"/>
      <c r="J19" s="1" t="s">
        <v>104</v>
      </c>
    </row>
    <row r="20" spans="1:10" ht="30" customHeight="1">
      <c r="A20" s="1" t="s">
        <v>71</v>
      </c>
      <c r="B20" s="1" t="s">
        <v>105</v>
      </c>
      <c r="C20" s="1" t="s">
        <v>12</v>
      </c>
      <c r="D20" s="4">
        <f>(D7+D8)*4+D9*2</f>
        <v>448.8</v>
      </c>
      <c r="E20" s="7">
        <v>0.15</v>
      </c>
      <c r="F20" s="4">
        <f t="shared" si="0"/>
        <v>516.12</v>
      </c>
      <c r="G20" s="11" t="s">
        <v>21</v>
      </c>
      <c r="H20" s="1" t="s">
        <v>88</v>
      </c>
      <c r="I20" s="1"/>
      <c r="J20" s="1" t="s">
        <v>106</v>
      </c>
    </row>
    <row r="21" spans="1:10" ht="30" customHeight="1">
      <c r="A21" s="1" t="s">
        <v>71</v>
      </c>
      <c r="B21" s="1" t="s">
        <v>107</v>
      </c>
      <c r="C21" s="1" t="s">
        <v>16</v>
      </c>
      <c r="D21" s="12">
        <v>11</v>
      </c>
      <c r="E21" s="7">
        <v>0</v>
      </c>
      <c r="F21" s="4">
        <f t="shared" si="0"/>
        <v>11</v>
      </c>
      <c r="G21" s="1" t="s">
        <v>43</v>
      </c>
      <c r="H21" s="1" t="s">
        <v>74</v>
      </c>
      <c r="I21" s="1"/>
      <c r="J21" s="1" t="s">
        <v>108</v>
      </c>
    </row>
    <row r="22" spans="1:10" ht="30" customHeight="1">
      <c r="A22" s="1" t="s">
        <v>71</v>
      </c>
      <c r="B22" s="1" t="s">
        <v>109</v>
      </c>
      <c r="C22" s="1" t="s">
        <v>16</v>
      </c>
      <c r="D22" s="4">
        <f>ROUNDUP(D9/(16/12),0)+1</f>
        <v>21</v>
      </c>
      <c r="E22" s="7">
        <v>0</v>
      </c>
      <c r="F22" s="4">
        <f t="shared" si="0"/>
        <v>21</v>
      </c>
      <c r="G22" s="1" t="s">
        <v>110</v>
      </c>
      <c r="H22" s="1" t="s">
        <v>111</v>
      </c>
      <c r="I22" s="1"/>
      <c r="J22" s="1" t="s">
        <v>112</v>
      </c>
    </row>
    <row r="23" spans="1:10" ht="30" customHeight="1">
      <c r="A23" s="1" t="s">
        <v>113</v>
      </c>
      <c r="B23" s="1" t="s">
        <v>114</v>
      </c>
      <c r="C23" s="1" t="s">
        <v>8</v>
      </c>
      <c r="D23" s="4">
        <f>Measurements!B8*Measurements!B7</f>
        <v>616</v>
      </c>
      <c r="E23" s="7">
        <v>0</v>
      </c>
      <c r="F23" s="4">
        <f t="shared" si="0"/>
        <v>616</v>
      </c>
      <c r="G23" s="1" t="s">
        <v>73</v>
      </c>
      <c r="H23" s="1" t="s">
        <v>115</v>
      </c>
      <c r="I23" s="1"/>
      <c r="J23" s="1" t="s">
        <v>116</v>
      </c>
    </row>
    <row r="24" spans="1:10" ht="30" customHeight="1">
      <c r="A24" s="1" t="s">
        <v>113</v>
      </c>
      <c r="B24" s="1" t="s">
        <v>117</v>
      </c>
      <c r="C24" s="1" t="s">
        <v>8</v>
      </c>
      <c r="D24" s="4">
        <f>(Measurements!B11+Measurements!B12)*Measurements!B7</f>
        <v>660</v>
      </c>
      <c r="E24" s="7">
        <v>0</v>
      </c>
      <c r="F24" s="4">
        <f t="shared" si="0"/>
        <v>660</v>
      </c>
      <c r="G24" s="1" t="s">
        <v>73</v>
      </c>
      <c r="H24" s="1" t="s">
        <v>118</v>
      </c>
      <c r="I24" s="1"/>
      <c r="J24" s="1" t="s">
        <v>119</v>
      </c>
    </row>
    <row r="25" spans="1:10" ht="30" customHeight="1">
      <c r="A25" s="8" t="s">
        <v>113</v>
      </c>
      <c r="B25" s="8" t="s">
        <v>120</v>
      </c>
      <c r="C25" s="8" t="s">
        <v>8</v>
      </c>
      <c r="D25" s="9">
        <f>D23+D24</f>
        <v>1276</v>
      </c>
      <c r="E25" s="10">
        <v>0</v>
      </c>
      <c r="F25" s="9">
        <f t="shared" si="0"/>
        <v>1276</v>
      </c>
      <c r="G25" s="8" t="s">
        <v>110</v>
      </c>
      <c r="H25" s="8" t="s">
        <v>118</v>
      </c>
      <c r="I25" s="1"/>
      <c r="J25" s="1" t="s">
        <v>121</v>
      </c>
    </row>
    <row r="26" spans="1:10" ht="30" customHeight="1">
      <c r="A26" s="8" t="s">
        <v>113</v>
      </c>
      <c r="B26" s="8" t="s">
        <v>122</v>
      </c>
      <c r="C26" s="8" t="s">
        <v>12</v>
      </c>
      <c r="D26" s="9">
        <f>Measurements!B8+Measurements!B11+Measurements!B12</f>
        <v>159.5</v>
      </c>
      <c r="E26" s="10">
        <v>0</v>
      </c>
      <c r="F26" s="9">
        <f t="shared" si="0"/>
        <v>159.5</v>
      </c>
      <c r="G26" s="8" t="s">
        <v>73</v>
      </c>
      <c r="H26" s="8" t="s">
        <v>118</v>
      </c>
      <c r="I26" s="1"/>
      <c r="J26" s="1" t="s">
        <v>123</v>
      </c>
    </row>
    <row r="27" spans="1:10" ht="30" customHeight="1">
      <c r="A27" s="1" t="s">
        <v>113</v>
      </c>
      <c r="B27" s="1" t="s">
        <v>124</v>
      </c>
      <c r="C27" s="1" t="s">
        <v>16</v>
      </c>
      <c r="D27" s="4">
        <f>ROUNDUP((Measurements!B8+Measurements!B11+Measurements!B12)/(16/12),0)</f>
        <v>120</v>
      </c>
      <c r="E27" s="7">
        <v>0.25</v>
      </c>
      <c r="F27" s="4">
        <f t="shared" si="0"/>
        <v>150</v>
      </c>
      <c r="G27" s="11" t="s">
        <v>21</v>
      </c>
      <c r="H27" s="1" t="s">
        <v>125</v>
      </c>
      <c r="I27" s="1"/>
      <c r="J27" s="1" t="s">
        <v>126</v>
      </c>
    </row>
    <row r="28" spans="1:10" ht="30" customHeight="1">
      <c r="A28" s="1" t="s">
        <v>113</v>
      </c>
      <c r="B28" s="1" t="s">
        <v>127</v>
      </c>
      <c r="C28" s="1" t="s">
        <v>12</v>
      </c>
      <c r="D28" s="4">
        <f>2*(Measurements!B8+Measurements!B11+Measurements!B12)</f>
        <v>319</v>
      </c>
      <c r="E28" s="7">
        <v>0.1</v>
      </c>
      <c r="F28" s="4">
        <f t="shared" si="0"/>
        <v>350.90000000000003</v>
      </c>
      <c r="G28" s="1" t="s">
        <v>110</v>
      </c>
      <c r="H28" s="1" t="s">
        <v>128</v>
      </c>
      <c r="I28" s="1"/>
      <c r="J28" s="1" t="s">
        <v>129</v>
      </c>
    </row>
    <row r="29" spans="1:10" ht="30" customHeight="1">
      <c r="A29" s="1" t="s">
        <v>113</v>
      </c>
      <c r="B29" s="1" t="s">
        <v>130</v>
      </c>
      <c r="C29" s="1" t="s">
        <v>12</v>
      </c>
      <c r="D29" s="4">
        <f>Measurements!B8+Measurements!B11+Measurements!B12</f>
        <v>159.5</v>
      </c>
      <c r="E29" s="7">
        <v>0.1</v>
      </c>
      <c r="F29" s="4">
        <f t="shared" si="0"/>
        <v>175.45000000000002</v>
      </c>
      <c r="G29" s="1" t="s">
        <v>110</v>
      </c>
      <c r="H29" s="1" t="s">
        <v>131</v>
      </c>
      <c r="I29" s="1"/>
      <c r="J29" s="1" t="s">
        <v>132</v>
      </c>
    </row>
    <row r="30" spans="1:10" ht="30" customHeight="1">
      <c r="A30" s="1" t="s">
        <v>113</v>
      </c>
      <c r="B30" s="1" t="s">
        <v>133</v>
      </c>
      <c r="C30" s="1" t="s">
        <v>8</v>
      </c>
      <c r="D30" s="4">
        <f>(4+4/12+10+6.5+5+9+12)*Measurements!B7</f>
        <v>374.66666666666663</v>
      </c>
      <c r="E30" s="7">
        <v>0.1</v>
      </c>
      <c r="F30" s="4">
        <f t="shared" si="0"/>
        <v>412.13333333333333</v>
      </c>
      <c r="G30" s="1" t="s">
        <v>134</v>
      </c>
      <c r="H30" s="1" t="s">
        <v>135</v>
      </c>
      <c r="I30" s="1"/>
      <c r="J30" s="1" t="s">
        <v>136</v>
      </c>
    </row>
    <row r="31" spans="1:10" ht="30" customHeight="1">
      <c r="A31" s="1" t="s">
        <v>137</v>
      </c>
      <c r="B31" s="1" t="s">
        <v>138</v>
      </c>
      <c r="C31" s="1" t="s">
        <v>8</v>
      </c>
      <c r="D31" s="4">
        <f>Measurements!B5</f>
        <v>563</v>
      </c>
      <c r="E31" s="7">
        <v>0</v>
      </c>
      <c r="F31" s="4">
        <f t="shared" si="0"/>
        <v>563</v>
      </c>
      <c r="G31" s="1" t="s">
        <v>26</v>
      </c>
      <c r="H31" s="1" t="s">
        <v>139</v>
      </c>
      <c r="I31" s="1"/>
      <c r="J31" s="1" t="s">
        <v>140</v>
      </c>
    </row>
    <row r="32" spans="1:10" ht="30" customHeight="1">
      <c r="A32" s="1" t="s">
        <v>137</v>
      </c>
      <c r="B32" s="1" t="s">
        <v>141</v>
      </c>
      <c r="C32" s="1" t="s">
        <v>12</v>
      </c>
      <c r="D32" s="4">
        <f>D31/(16/12)</f>
        <v>422.25</v>
      </c>
      <c r="E32" s="7">
        <v>0.1</v>
      </c>
      <c r="F32" s="4">
        <f t="shared" si="0"/>
        <v>464.47500000000002</v>
      </c>
      <c r="G32" s="11" t="s">
        <v>21</v>
      </c>
      <c r="H32" s="1" t="s">
        <v>135</v>
      </c>
      <c r="I32" s="1"/>
      <c r="J32" s="1" t="s">
        <v>142</v>
      </c>
    </row>
    <row r="33" spans="1:10" ht="30" customHeight="1">
      <c r="A33" s="1" t="s">
        <v>137</v>
      </c>
      <c r="B33" s="1" t="s">
        <v>143</v>
      </c>
      <c r="C33" s="1" t="s">
        <v>8</v>
      </c>
      <c r="D33" s="4">
        <f>Measurements!B6</f>
        <v>908</v>
      </c>
      <c r="E33" s="7">
        <v>0</v>
      </c>
      <c r="F33" s="4">
        <f t="shared" si="0"/>
        <v>908</v>
      </c>
      <c r="G33" s="1" t="s">
        <v>144</v>
      </c>
      <c r="H33" s="1" t="s">
        <v>135</v>
      </c>
      <c r="I33" s="1"/>
      <c r="J33" s="1" t="s">
        <v>145</v>
      </c>
    </row>
    <row r="34" spans="1:10" ht="30" customHeight="1">
      <c r="A34" s="1" t="s">
        <v>137</v>
      </c>
      <c r="B34" s="1" t="s">
        <v>146</v>
      </c>
      <c r="C34" s="1" t="s">
        <v>8</v>
      </c>
      <c r="D34" s="12">
        <v>0</v>
      </c>
      <c r="E34" s="7">
        <v>0</v>
      </c>
      <c r="F34" s="4">
        <f t="shared" si="0"/>
        <v>0</v>
      </c>
      <c r="G34" s="1" t="s">
        <v>29</v>
      </c>
      <c r="H34" s="1" t="s">
        <v>74</v>
      </c>
      <c r="I34" s="1"/>
      <c r="J34" s="1" t="s">
        <v>147</v>
      </c>
    </row>
    <row r="35" spans="1:10" ht="30" customHeight="1">
      <c r="A35" s="1" t="s">
        <v>148</v>
      </c>
      <c r="B35" s="1" t="s">
        <v>149</v>
      </c>
      <c r="C35" s="1" t="s">
        <v>8</v>
      </c>
      <c r="D35" s="4">
        <f>Measurements!B13-Measurements!B14+2*D24-2*Measurements!B15*Measurements!B16*Measurements!B17-2*Measurements!B18</f>
        <v>1530.6666666666667</v>
      </c>
      <c r="E35" s="7">
        <v>0</v>
      </c>
      <c r="F35" s="4">
        <f t="shared" si="0"/>
        <v>1530.6666666666667</v>
      </c>
      <c r="G35" s="1" t="s">
        <v>110</v>
      </c>
      <c r="H35" s="1" t="s">
        <v>150</v>
      </c>
      <c r="I35" s="1"/>
      <c r="J35" s="1" t="s">
        <v>151</v>
      </c>
    </row>
    <row r="36" spans="1:10" ht="30" customHeight="1">
      <c r="A36" s="1" t="s">
        <v>148</v>
      </c>
      <c r="B36" s="1" t="s">
        <v>152</v>
      </c>
      <c r="C36" s="1" t="s">
        <v>8</v>
      </c>
      <c r="D36" s="4">
        <f>Measurements!B5+Measurements!B19</f>
        <v>628</v>
      </c>
      <c r="E36" s="7">
        <v>0</v>
      </c>
      <c r="F36" s="4">
        <f t="shared" si="0"/>
        <v>628</v>
      </c>
      <c r="G36" s="11" t="s">
        <v>153</v>
      </c>
      <c r="H36" s="1" t="s">
        <v>154</v>
      </c>
      <c r="I36" s="1"/>
      <c r="J36" s="1" t="s">
        <v>155</v>
      </c>
    </row>
    <row r="37" spans="1:10" ht="30" customHeight="1">
      <c r="A37" s="8" t="s">
        <v>148</v>
      </c>
      <c r="B37" s="8" t="s">
        <v>156</v>
      </c>
      <c r="C37" s="8" t="s">
        <v>8</v>
      </c>
      <c r="D37" s="9">
        <f>D35+D36</f>
        <v>2158.666666666667</v>
      </c>
      <c r="E37" s="10">
        <v>0.1</v>
      </c>
      <c r="F37" s="9">
        <f t="shared" si="0"/>
        <v>2374.5333333333338</v>
      </c>
      <c r="G37" s="8" t="s">
        <v>110</v>
      </c>
      <c r="H37" s="8" t="s">
        <v>150</v>
      </c>
      <c r="I37" s="1"/>
      <c r="J37" s="1" t="s">
        <v>157</v>
      </c>
    </row>
    <row r="38" spans="1:10" ht="30" customHeight="1">
      <c r="A38" s="1" t="s">
        <v>148</v>
      </c>
      <c r="B38" s="1" t="s">
        <v>158</v>
      </c>
      <c r="C38" s="1" t="s">
        <v>16</v>
      </c>
      <c r="D38" s="4">
        <f>ROUNDUP(D37*(1+Measurements!B28)/32,0)</f>
        <v>75</v>
      </c>
      <c r="E38" s="7">
        <v>0</v>
      </c>
      <c r="F38" s="4">
        <f t="shared" si="0"/>
        <v>75</v>
      </c>
      <c r="G38" s="11" t="s">
        <v>159</v>
      </c>
      <c r="H38" s="1" t="s">
        <v>160</v>
      </c>
      <c r="I38" s="1"/>
      <c r="J38" s="1" t="s">
        <v>161</v>
      </c>
    </row>
    <row r="39" spans="1:10" ht="30" customHeight="1">
      <c r="A39" s="1" t="s">
        <v>148</v>
      </c>
      <c r="B39" s="1" t="s">
        <v>162</v>
      </c>
      <c r="C39" s="1" t="s">
        <v>8</v>
      </c>
      <c r="D39" s="4">
        <f>2*Measurements!B18</f>
        <v>132</v>
      </c>
      <c r="E39" s="7">
        <v>0.1</v>
      </c>
      <c r="F39" s="4">
        <f t="shared" ref="F39:F70" si="1">D39*(1+E39)</f>
        <v>145.20000000000002</v>
      </c>
      <c r="G39" s="11" t="s">
        <v>21</v>
      </c>
      <c r="H39" s="1" t="s">
        <v>163</v>
      </c>
      <c r="I39" s="1"/>
      <c r="J39" s="1" t="s">
        <v>164</v>
      </c>
    </row>
    <row r="40" spans="1:10" ht="30" customHeight="1">
      <c r="A40" s="1" t="s">
        <v>165</v>
      </c>
      <c r="B40" s="1" t="s">
        <v>166</v>
      </c>
      <c r="C40" s="1" t="s">
        <v>8</v>
      </c>
      <c r="D40" s="4">
        <f>Measurements!B13-Measurements!B14</f>
        <v>556</v>
      </c>
      <c r="E40" s="7">
        <v>0.1</v>
      </c>
      <c r="F40" s="4">
        <f t="shared" si="1"/>
        <v>611.6</v>
      </c>
      <c r="G40" s="1" t="s">
        <v>110</v>
      </c>
      <c r="H40" s="1" t="s">
        <v>167</v>
      </c>
      <c r="I40" s="1"/>
      <c r="J40" s="1" t="s">
        <v>168</v>
      </c>
    </row>
    <row r="41" spans="1:10" ht="30" customHeight="1">
      <c r="A41" s="1" t="s">
        <v>165</v>
      </c>
      <c r="B41" s="1" t="s">
        <v>169</v>
      </c>
      <c r="C41" s="1" t="s">
        <v>8</v>
      </c>
      <c r="D41" s="12">
        <v>50</v>
      </c>
      <c r="E41" s="7">
        <v>0</v>
      </c>
      <c r="F41" s="4">
        <f t="shared" si="1"/>
        <v>50</v>
      </c>
      <c r="G41" s="11" t="s">
        <v>21</v>
      </c>
      <c r="H41" s="1" t="s">
        <v>170</v>
      </c>
      <c r="I41" s="1"/>
      <c r="J41" s="1" t="s">
        <v>171</v>
      </c>
    </row>
    <row r="42" spans="1:10" ht="30" customHeight="1">
      <c r="A42" s="1" t="s">
        <v>165</v>
      </c>
      <c r="B42" s="1" t="s">
        <v>172</v>
      </c>
      <c r="C42" s="1" t="s">
        <v>8</v>
      </c>
      <c r="D42" s="4">
        <f>Measurements!B13</f>
        <v>613</v>
      </c>
      <c r="E42" s="7">
        <v>0.1</v>
      </c>
      <c r="F42" s="4">
        <f t="shared" si="1"/>
        <v>674.30000000000007</v>
      </c>
      <c r="G42" s="1" t="s">
        <v>173</v>
      </c>
      <c r="H42" s="1" t="s">
        <v>167</v>
      </c>
      <c r="I42" s="1"/>
      <c r="J42" s="1" t="s">
        <v>174</v>
      </c>
    </row>
    <row r="43" spans="1:10" ht="30" customHeight="1">
      <c r="A43" s="1" t="s">
        <v>165</v>
      </c>
      <c r="B43" s="1" t="s">
        <v>175</v>
      </c>
      <c r="C43" s="1" t="s">
        <v>12</v>
      </c>
      <c r="D43" s="4">
        <f>Measurements!B8</f>
        <v>77</v>
      </c>
      <c r="E43" s="7">
        <v>0.1</v>
      </c>
      <c r="F43" s="4">
        <f t="shared" si="1"/>
        <v>84.7</v>
      </c>
      <c r="G43" s="1" t="s">
        <v>73</v>
      </c>
      <c r="H43" s="1" t="s">
        <v>176</v>
      </c>
      <c r="I43" s="1"/>
      <c r="J43" s="1" t="s">
        <v>177</v>
      </c>
    </row>
    <row r="44" spans="1:10" ht="30" customHeight="1">
      <c r="A44" s="1" t="s">
        <v>178</v>
      </c>
      <c r="B44" s="1" t="s">
        <v>179</v>
      </c>
      <c r="C44" s="1" t="s">
        <v>8</v>
      </c>
      <c r="D44" s="4">
        <f>Measurements!B24*SQRT(1+(Measurements!B26/12)^2)</f>
        <v>655.41666666666663</v>
      </c>
      <c r="E44" s="7">
        <v>0.15</v>
      </c>
      <c r="F44" s="4">
        <f t="shared" si="1"/>
        <v>753.72916666666652</v>
      </c>
      <c r="G44" s="1" t="s">
        <v>73</v>
      </c>
      <c r="H44" s="1" t="s">
        <v>180</v>
      </c>
      <c r="I44" s="1"/>
      <c r="J44" s="1" t="s">
        <v>181</v>
      </c>
    </row>
    <row r="45" spans="1:10" ht="30" customHeight="1">
      <c r="A45" s="1" t="s">
        <v>178</v>
      </c>
      <c r="B45" s="1" t="s">
        <v>182</v>
      </c>
      <c r="C45" s="1" t="s">
        <v>8</v>
      </c>
      <c r="D45" s="4">
        <f>Measurements!B25*SQRT(1+(Measurements!B27/12)^2)</f>
        <v>1715.4104709273993</v>
      </c>
      <c r="E45" s="7">
        <v>0.15</v>
      </c>
      <c r="F45" s="4">
        <f t="shared" si="1"/>
        <v>1972.722041566509</v>
      </c>
      <c r="G45" s="1" t="s">
        <v>73</v>
      </c>
      <c r="H45" s="1" t="s">
        <v>183</v>
      </c>
      <c r="I45" s="1"/>
      <c r="J45" s="1" t="s">
        <v>184</v>
      </c>
    </row>
    <row r="46" spans="1:10" ht="30" customHeight="1">
      <c r="A46" s="1" t="s">
        <v>178</v>
      </c>
      <c r="B46" s="1" t="s">
        <v>185</v>
      </c>
      <c r="C46" s="1" t="s">
        <v>186</v>
      </c>
      <c r="D46" s="4">
        <f>D45*(1+Measurements!B29)/100</f>
        <v>19.727220415665091</v>
      </c>
      <c r="E46" s="7">
        <v>0</v>
      </c>
      <c r="F46" s="4">
        <f t="shared" si="1"/>
        <v>19.727220415665091</v>
      </c>
      <c r="G46" s="11" t="s">
        <v>159</v>
      </c>
      <c r="H46" s="1" t="s">
        <v>187</v>
      </c>
      <c r="I46" s="1"/>
      <c r="J46" s="1" t="s">
        <v>188</v>
      </c>
    </row>
    <row r="47" spans="1:10" ht="30" customHeight="1">
      <c r="A47" s="1" t="s">
        <v>178</v>
      </c>
      <c r="B47" s="1" t="s">
        <v>189</v>
      </c>
      <c r="C47" s="1" t="s">
        <v>8</v>
      </c>
      <c r="D47" s="4">
        <f>D45</f>
        <v>1715.4104709273993</v>
      </c>
      <c r="E47" s="7">
        <v>0.1</v>
      </c>
      <c r="F47" s="4">
        <f t="shared" si="1"/>
        <v>1886.9515180201392</v>
      </c>
      <c r="G47" s="1" t="s">
        <v>73</v>
      </c>
      <c r="H47" s="1" t="s">
        <v>190</v>
      </c>
      <c r="I47" s="1"/>
      <c r="J47" s="1" t="s">
        <v>191</v>
      </c>
    </row>
    <row r="48" spans="1:10" ht="30" customHeight="1">
      <c r="A48" s="1" t="s">
        <v>178</v>
      </c>
      <c r="B48" s="1" t="s">
        <v>192</v>
      </c>
      <c r="C48" s="1" t="s">
        <v>8</v>
      </c>
      <c r="D48" s="4">
        <f>D45</f>
        <v>1715.4104709273993</v>
      </c>
      <c r="E48" s="7">
        <v>0.1</v>
      </c>
      <c r="F48" s="4">
        <f t="shared" si="1"/>
        <v>1886.9515180201392</v>
      </c>
      <c r="G48" s="1" t="s">
        <v>73</v>
      </c>
      <c r="H48" s="1" t="s">
        <v>135</v>
      </c>
      <c r="I48" s="1"/>
      <c r="J48" s="1" t="s">
        <v>193</v>
      </c>
    </row>
    <row r="49" spans="1:10" ht="30" customHeight="1">
      <c r="A49" s="1" t="s">
        <v>178</v>
      </c>
      <c r="B49" s="1" t="s">
        <v>194</v>
      </c>
      <c r="C49" s="1" t="s">
        <v>16</v>
      </c>
      <c r="D49" s="12">
        <v>14</v>
      </c>
      <c r="E49" s="7">
        <v>0</v>
      </c>
      <c r="F49" s="4">
        <f t="shared" si="1"/>
        <v>14</v>
      </c>
      <c r="G49" s="1" t="s">
        <v>9</v>
      </c>
      <c r="H49" s="1" t="s">
        <v>195</v>
      </c>
      <c r="I49" s="1"/>
      <c r="J49" s="1" t="s">
        <v>196</v>
      </c>
    </row>
    <row r="50" spans="1:10" ht="30" customHeight="1">
      <c r="A50" s="1" t="s">
        <v>197</v>
      </c>
      <c r="B50" s="1" t="s">
        <v>198</v>
      </c>
      <c r="C50" s="1" t="s">
        <v>8</v>
      </c>
      <c r="D50" s="4">
        <f>D45</f>
        <v>1715.4104709273993</v>
      </c>
      <c r="E50" s="7">
        <v>0</v>
      </c>
      <c r="F50" s="4">
        <f t="shared" si="1"/>
        <v>1715.4104709273993</v>
      </c>
      <c r="G50" s="1" t="s">
        <v>73</v>
      </c>
      <c r="H50" s="1" t="s">
        <v>135</v>
      </c>
      <c r="I50" s="1"/>
      <c r="J50" s="1" t="s">
        <v>199</v>
      </c>
    </row>
    <row r="51" spans="1:10" ht="30" customHeight="1">
      <c r="A51" s="1" t="s">
        <v>197</v>
      </c>
      <c r="B51" s="1" t="s">
        <v>200</v>
      </c>
      <c r="C51" s="1" t="s">
        <v>12</v>
      </c>
      <c r="D51" s="4">
        <f>D45/(16/12)</f>
        <v>1286.5578531955496</v>
      </c>
      <c r="E51" s="7">
        <v>0.15</v>
      </c>
      <c r="F51" s="4">
        <f t="shared" si="1"/>
        <v>1479.5415311748818</v>
      </c>
      <c r="G51" s="11" t="s">
        <v>21</v>
      </c>
      <c r="H51" s="1" t="s">
        <v>135</v>
      </c>
      <c r="I51" s="1"/>
      <c r="J51" s="1" t="s">
        <v>201</v>
      </c>
    </row>
    <row r="52" spans="1:10" ht="30" customHeight="1">
      <c r="A52" s="1" t="s">
        <v>202</v>
      </c>
      <c r="B52" s="1" t="s">
        <v>203</v>
      </c>
      <c r="C52" s="1" t="s">
        <v>8</v>
      </c>
      <c r="D52" s="4">
        <f>Measurements!B20</f>
        <v>525</v>
      </c>
      <c r="E52" s="7">
        <v>0.1</v>
      </c>
      <c r="F52" s="4">
        <f t="shared" si="1"/>
        <v>577.5</v>
      </c>
      <c r="G52" s="1" t="s">
        <v>73</v>
      </c>
      <c r="H52" s="1" t="s">
        <v>118</v>
      </c>
      <c r="I52" s="1"/>
      <c r="J52" s="1" t="s">
        <v>204</v>
      </c>
    </row>
    <row r="53" spans="1:10" ht="30" customHeight="1">
      <c r="A53" s="1" t="s">
        <v>202</v>
      </c>
      <c r="B53" s="1" t="s">
        <v>205</v>
      </c>
      <c r="C53" s="1" t="s">
        <v>8</v>
      </c>
      <c r="D53" s="4">
        <f>Measurements!B21-2*Measurements!B22</f>
        <v>78.3</v>
      </c>
      <c r="E53" s="7">
        <v>0.1</v>
      </c>
      <c r="F53" s="4">
        <f t="shared" si="1"/>
        <v>86.13000000000001</v>
      </c>
      <c r="G53" s="11" t="s">
        <v>206</v>
      </c>
      <c r="H53" s="1" t="s">
        <v>118</v>
      </c>
      <c r="I53" s="1"/>
      <c r="J53" s="1" t="s">
        <v>207</v>
      </c>
    </row>
    <row r="54" spans="1:10" ht="30" customHeight="1">
      <c r="A54" s="1" t="s">
        <v>202</v>
      </c>
      <c r="B54" s="1" t="s">
        <v>208</v>
      </c>
      <c r="C54" s="1" t="s">
        <v>8</v>
      </c>
      <c r="D54" s="4">
        <f>2*Measurements!B22</f>
        <v>30</v>
      </c>
      <c r="E54" s="7">
        <v>0.1</v>
      </c>
      <c r="F54" s="4">
        <f t="shared" si="1"/>
        <v>33</v>
      </c>
      <c r="G54" s="11" t="s">
        <v>21</v>
      </c>
      <c r="H54" s="1" t="s">
        <v>163</v>
      </c>
      <c r="I54" s="1"/>
      <c r="J54" s="1" t="s">
        <v>209</v>
      </c>
    </row>
    <row r="55" spans="1:10" ht="30" customHeight="1">
      <c r="A55" s="1" t="s">
        <v>202</v>
      </c>
      <c r="B55" s="1" t="s">
        <v>210</v>
      </c>
      <c r="C55" s="1" t="s">
        <v>8</v>
      </c>
      <c r="D55" s="4">
        <f>Measurements!B20-Measurements!B21</f>
        <v>416.7</v>
      </c>
      <c r="E55" s="7">
        <v>0.1</v>
      </c>
      <c r="F55" s="4">
        <f t="shared" si="1"/>
        <v>458.37</v>
      </c>
      <c r="G55" s="1" t="s">
        <v>110</v>
      </c>
      <c r="H55" s="1" t="s">
        <v>118</v>
      </c>
      <c r="I55" s="1"/>
      <c r="J55" s="1" t="s">
        <v>211</v>
      </c>
    </row>
    <row r="56" spans="1:10" ht="30" customHeight="1">
      <c r="A56" s="1" t="s">
        <v>202</v>
      </c>
      <c r="B56" s="1" t="s">
        <v>212</v>
      </c>
      <c r="C56" s="1" t="s">
        <v>8</v>
      </c>
      <c r="D56" s="4">
        <f>Measurements!B23</f>
        <v>65</v>
      </c>
      <c r="E56" s="7">
        <v>0.1</v>
      </c>
      <c r="F56" s="4">
        <f t="shared" si="1"/>
        <v>71.5</v>
      </c>
      <c r="G56" s="11" t="s">
        <v>21</v>
      </c>
      <c r="H56" s="1" t="s">
        <v>118</v>
      </c>
      <c r="I56" s="1"/>
      <c r="J56" s="1" t="s">
        <v>213</v>
      </c>
    </row>
    <row r="57" spans="1:10" ht="30" customHeight="1">
      <c r="A57" s="1" t="s">
        <v>202</v>
      </c>
      <c r="B57" s="1" t="s">
        <v>214</v>
      </c>
      <c r="C57" s="1" t="s">
        <v>8</v>
      </c>
      <c r="D57" s="4">
        <f>2*Measurements!B18</f>
        <v>132</v>
      </c>
      <c r="E57" s="7">
        <v>0.1</v>
      </c>
      <c r="F57" s="4">
        <f t="shared" si="1"/>
        <v>145.20000000000002</v>
      </c>
      <c r="G57" s="11" t="s">
        <v>21</v>
      </c>
      <c r="H57" s="1" t="s">
        <v>163</v>
      </c>
      <c r="I57" s="1"/>
      <c r="J57" s="1" t="s">
        <v>215</v>
      </c>
    </row>
    <row r="58" spans="1:10" ht="30" customHeight="1">
      <c r="A58" s="1" t="s">
        <v>216</v>
      </c>
      <c r="B58" s="1" t="s">
        <v>217</v>
      </c>
      <c r="C58" s="1" t="s">
        <v>16</v>
      </c>
      <c r="D58" s="12">
        <v>2</v>
      </c>
      <c r="E58" s="7">
        <v>0</v>
      </c>
      <c r="F58" s="4">
        <f t="shared" si="1"/>
        <v>2</v>
      </c>
      <c r="G58" s="1" t="s">
        <v>43</v>
      </c>
      <c r="H58" s="1" t="s">
        <v>118</v>
      </c>
      <c r="I58" s="1"/>
      <c r="J58" s="1" t="s">
        <v>218</v>
      </c>
    </row>
    <row r="59" spans="1:10" ht="30" customHeight="1">
      <c r="A59" s="1" t="s">
        <v>216</v>
      </c>
      <c r="B59" s="1" t="s">
        <v>219</v>
      </c>
      <c r="C59" s="1" t="s">
        <v>16</v>
      </c>
      <c r="D59" s="12">
        <v>5</v>
      </c>
      <c r="E59" s="7">
        <v>0</v>
      </c>
      <c r="F59" s="4">
        <f t="shared" si="1"/>
        <v>5</v>
      </c>
      <c r="G59" s="1" t="s">
        <v>43</v>
      </c>
      <c r="H59" s="1" t="s">
        <v>118</v>
      </c>
      <c r="I59" s="1"/>
      <c r="J59" s="1" t="s">
        <v>220</v>
      </c>
    </row>
    <row r="60" spans="1:10" ht="30" customHeight="1">
      <c r="A60" s="1" t="s">
        <v>216</v>
      </c>
      <c r="B60" s="1" t="s">
        <v>221</v>
      </c>
      <c r="C60" s="1" t="s">
        <v>16</v>
      </c>
      <c r="D60" s="12">
        <v>2</v>
      </c>
      <c r="E60" s="7">
        <v>0</v>
      </c>
      <c r="F60" s="4">
        <f t="shared" si="1"/>
        <v>2</v>
      </c>
      <c r="G60" s="1" t="s">
        <v>43</v>
      </c>
      <c r="H60" s="1" t="s">
        <v>118</v>
      </c>
      <c r="I60" s="1"/>
      <c r="J60" s="1" t="s">
        <v>222</v>
      </c>
    </row>
    <row r="61" spans="1:10" ht="30" customHeight="1">
      <c r="A61" s="1" t="s">
        <v>216</v>
      </c>
      <c r="B61" s="1" t="s">
        <v>223</v>
      </c>
      <c r="C61" s="1" t="s">
        <v>16</v>
      </c>
      <c r="D61" s="12">
        <v>1</v>
      </c>
      <c r="E61" s="7">
        <v>0</v>
      </c>
      <c r="F61" s="4">
        <f t="shared" si="1"/>
        <v>1</v>
      </c>
      <c r="G61" s="1" t="s">
        <v>43</v>
      </c>
      <c r="H61" s="1" t="s">
        <v>118</v>
      </c>
      <c r="I61" s="1"/>
      <c r="J61" s="1" t="s">
        <v>224</v>
      </c>
    </row>
    <row r="62" spans="1:10" ht="30" customHeight="1">
      <c r="A62" s="1" t="s">
        <v>216</v>
      </c>
      <c r="B62" s="1" t="s">
        <v>225</v>
      </c>
      <c r="C62" s="1" t="s">
        <v>16</v>
      </c>
      <c r="D62" s="12">
        <v>2</v>
      </c>
      <c r="E62" s="7">
        <v>0</v>
      </c>
      <c r="F62" s="4">
        <f t="shared" si="1"/>
        <v>2</v>
      </c>
      <c r="G62" s="1" t="s">
        <v>43</v>
      </c>
      <c r="H62" s="1" t="s">
        <v>118</v>
      </c>
      <c r="I62" s="1"/>
      <c r="J62" s="1" t="s">
        <v>226</v>
      </c>
    </row>
    <row r="63" spans="1:10" ht="30" customHeight="1">
      <c r="A63" s="1" t="s">
        <v>216</v>
      </c>
      <c r="B63" s="1" t="s">
        <v>227</v>
      </c>
      <c r="C63" s="1" t="s">
        <v>16</v>
      </c>
      <c r="D63" s="12">
        <v>10</v>
      </c>
      <c r="E63" s="7">
        <v>0</v>
      </c>
      <c r="F63" s="4">
        <f t="shared" si="1"/>
        <v>10</v>
      </c>
      <c r="G63" s="11" t="s">
        <v>21</v>
      </c>
      <c r="H63" s="1" t="s">
        <v>228</v>
      </c>
      <c r="I63" s="1"/>
      <c r="J63" s="1" t="s">
        <v>229</v>
      </c>
    </row>
    <row r="64" spans="1:10" ht="30" customHeight="1">
      <c r="A64" s="1" t="s">
        <v>216</v>
      </c>
      <c r="B64" s="1" t="s">
        <v>230</v>
      </c>
      <c r="C64" s="1" t="s">
        <v>16</v>
      </c>
      <c r="D64" s="12">
        <v>2</v>
      </c>
      <c r="E64" s="7">
        <v>0</v>
      </c>
      <c r="F64" s="4">
        <f t="shared" si="1"/>
        <v>2</v>
      </c>
      <c r="G64" s="11" t="s">
        <v>21</v>
      </c>
      <c r="H64" s="1" t="s">
        <v>228</v>
      </c>
      <c r="I64" s="1"/>
      <c r="J64" s="1" t="s">
        <v>231</v>
      </c>
    </row>
    <row r="65" spans="1:10" ht="30" customHeight="1">
      <c r="A65" s="1" t="s">
        <v>216</v>
      </c>
      <c r="B65" s="1" t="s">
        <v>232</v>
      </c>
      <c r="C65" s="1" t="s">
        <v>16</v>
      </c>
      <c r="D65" s="12">
        <v>2</v>
      </c>
      <c r="E65" s="7">
        <v>0</v>
      </c>
      <c r="F65" s="4">
        <f t="shared" si="1"/>
        <v>2</v>
      </c>
      <c r="G65" s="11" t="s">
        <v>21</v>
      </c>
      <c r="H65" s="1" t="s">
        <v>228</v>
      </c>
      <c r="I65" s="1"/>
      <c r="J65" s="1" t="s">
        <v>233</v>
      </c>
    </row>
    <row r="66" spans="1:10" ht="30" customHeight="1">
      <c r="A66" s="1" t="s">
        <v>216</v>
      </c>
      <c r="B66" s="1" t="s">
        <v>234</v>
      </c>
      <c r="C66" s="1" t="s">
        <v>16</v>
      </c>
      <c r="D66" s="12">
        <v>1</v>
      </c>
      <c r="E66" s="7">
        <v>0</v>
      </c>
      <c r="F66" s="4">
        <f t="shared" si="1"/>
        <v>1</v>
      </c>
      <c r="G66" s="11" t="s">
        <v>21</v>
      </c>
      <c r="H66" s="1" t="s">
        <v>228</v>
      </c>
      <c r="I66" s="1"/>
      <c r="J66" s="1" t="s">
        <v>235</v>
      </c>
    </row>
    <row r="67" spans="1:10" ht="30" customHeight="1">
      <c r="A67" s="1" t="s">
        <v>216</v>
      </c>
      <c r="B67" s="1" t="s">
        <v>236</v>
      </c>
      <c r="C67" s="1" t="s">
        <v>16</v>
      </c>
      <c r="D67" s="12">
        <v>2</v>
      </c>
      <c r="E67" s="7">
        <v>0</v>
      </c>
      <c r="F67" s="4">
        <f t="shared" si="1"/>
        <v>2</v>
      </c>
      <c r="G67" s="11" t="s">
        <v>21</v>
      </c>
      <c r="H67" s="1" t="s">
        <v>228</v>
      </c>
      <c r="I67" s="1"/>
      <c r="J67" s="1" t="s">
        <v>237</v>
      </c>
    </row>
    <row r="68" spans="1:10" ht="30" customHeight="1">
      <c r="A68" s="1" t="s">
        <v>216</v>
      </c>
      <c r="B68" s="1" t="s">
        <v>238</v>
      </c>
      <c r="C68" s="1" t="s">
        <v>12</v>
      </c>
      <c r="D68" s="12">
        <v>350</v>
      </c>
      <c r="E68" s="7">
        <v>0.1</v>
      </c>
      <c r="F68" s="4">
        <f t="shared" si="1"/>
        <v>385.00000000000006</v>
      </c>
      <c r="G68" s="11" t="s">
        <v>21</v>
      </c>
      <c r="H68" s="1" t="s">
        <v>239</v>
      </c>
      <c r="I68" s="1"/>
      <c r="J68" s="1" t="s">
        <v>240</v>
      </c>
    </row>
    <row r="69" spans="1:10" ht="30" customHeight="1">
      <c r="A69" s="1" t="s">
        <v>216</v>
      </c>
      <c r="B69" s="1" t="s">
        <v>241</v>
      </c>
      <c r="C69" s="1" t="s">
        <v>12</v>
      </c>
      <c r="D69" s="12">
        <v>200</v>
      </c>
      <c r="E69" s="7">
        <v>0.1</v>
      </c>
      <c r="F69" s="4">
        <f t="shared" si="1"/>
        <v>220.00000000000003</v>
      </c>
      <c r="G69" s="11" t="s">
        <v>21</v>
      </c>
      <c r="H69" s="1" t="s">
        <v>239</v>
      </c>
      <c r="I69" s="1"/>
      <c r="J69" s="1" t="s">
        <v>242</v>
      </c>
    </row>
    <row r="70" spans="1:10" ht="30" customHeight="1">
      <c r="A70" s="1" t="s">
        <v>216</v>
      </c>
      <c r="B70" s="1" t="s">
        <v>243</v>
      </c>
      <c r="C70" s="1" t="s">
        <v>12</v>
      </c>
      <c r="D70" s="12">
        <v>100</v>
      </c>
      <c r="E70" s="7">
        <v>0.1</v>
      </c>
      <c r="F70" s="4">
        <f t="shared" si="1"/>
        <v>110.00000000000001</v>
      </c>
      <c r="G70" s="11" t="s">
        <v>21</v>
      </c>
      <c r="H70" s="1" t="s">
        <v>239</v>
      </c>
      <c r="I70" s="1"/>
      <c r="J70" s="1" t="s">
        <v>244</v>
      </c>
    </row>
    <row r="71" spans="1:10" ht="30" customHeight="1">
      <c r="A71" s="1" t="s">
        <v>216</v>
      </c>
      <c r="B71" s="1" t="s">
        <v>245</v>
      </c>
      <c r="C71" s="1" t="s">
        <v>246</v>
      </c>
      <c r="D71" s="12">
        <v>1</v>
      </c>
      <c r="E71" s="7">
        <v>0</v>
      </c>
      <c r="F71" s="4">
        <f t="shared" ref="F71:F102" si="2">D71*(1+E71)</f>
        <v>1</v>
      </c>
      <c r="G71" s="1" t="s">
        <v>247</v>
      </c>
      <c r="H71" s="1" t="s">
        <v>248</v>
      </c>
      <c r="I71" s="1"/>
      <c r="J71" s="1" t="s">
        <v>249</v>
      </c>
    </row>
    <row r="72" spans="1:10" ht="30" customHeight="1">
      <c r="A72" s="1" t="s">
        <v>216</v>
      </c>
      <c r="B72" s="1" t="s">
        <v>250</v>
      </c>
      <c r="C72" s="1" t="s">
        <v>246</v>
      </c>
      <c r="D72" s="12">
        <v>1</v>
      </c>
      <c r="E72" s="7">
        <v>0</v>
      </c>
      <c r="F72" s="4">
        <f t="shared" si="2"/>
        <v>1</v>
      </c>
      <c r="G72" s="11" t="s">
        <v>251</v>
      </c>
      <c r="H72" s="1" t="s">
        <v>252</v>
      </c>
      <c r="I72" s="1"/>
      <c r="J72" s="1" t="s">
        <v>253</v>
      </c>
    </row>
    <row r="73" spans="1:10" ht="30" customHeight="1">
      <c r="A73" s="1" t="s">
        <v>216</v>
      </c>
      <c r="B73" s="1" t="s">
        <v>254</v>
      </c>
      <c r="C73" s="1" t="s">
        <v>246</v>
      </c>
      <c r="D73" s="4"/>
      <c r="E73" s="7">
        <v>0</v>
      </c>
      <c r="F73" s="4"/>
      <c r="G73" s="11" t="s">
        <v>255</v>
      </c>
      <c r="H73" s="1" t="s">
        <v>118</v>
      </c>
      <c r="I73" s="1"/>
      <c r="J73" s="1" t="s">
        <v>256</v>
      </c>
    </row>
    <row r="74" spans="1:10" ht="30" customHeight="1">
      <c r="A74" s="1" t="s">
        <v>257</v>
      </c>
      <c r="B74" s="1" t="s">
        <v>258</v>
      </c>
      <c r="C74" s="1" t="s">
        <v>16</v>
      </c>
      <c r="D74" s="12">
        <v>2</v>
      </c>
      <c r="E74" s="7">
        <v>0</v>
      </c>
      <c r="F74" s="4">
        <f t="shared" ref="F74:F83" si="3">D74*(1+E74)</f>
        <v>2</v>
      </c>
      <c r="G74" s="1" t="s">
        <v>43</v>
      </c>
      <c r="H74" s="1" t="s">
        <v>118</v>
      </c>
      <c r="I74" s="1"/>
      <c r="J74" s="1" t="s">
        <v>259</v>
      </c>
    </row>
    <row r="75" spans="1:10" ht="30" customHeight="1">
      <c r="A75" s="1" t="s">
        <v>257</v>
      </c>
      <c r="B75" s="1" t="s">
        <v>260</v>
      </c>
      <c r="C75" s="1" t="s">
        <v>16</v>
      </c>
      <c r="D75" s="12">
        <v>2</v>
      </c>
      <c r="E75" s="7">
        <v>0</v>
      </c>
      <c r="F75" s="4">
        <f t="shared" si="3"/>
        <v>2</v>
      </c>
      <c r="G75" s="1" t="s">
        <v>43</v>
      </c>
      <c r="H75" s="1" t="s">
        <v>118</v>
      </c>
      <c r="I75" s="1"/>
      <c r="J75" s="1" t="s">
        <v>261</v>
      </c>
    </row>
    <row r="76" spans="1:10" ht="30" customHeight="1">
      <c r="A76" s="1" t="s">
        <v>257</v>
      </c>
      <c r="B76" s="1" t="s">
        <v>262</v>
      </c>
      <c r="C76" s="1" t="s">
        <v>263</v>
      </c>
      <c r="D76" s="12">
        <v>2</v>
      </c>
      <c r="E76" s="7">
        <v>0</v>
      </c>
      <c r="F76" s="4">
        <f t="shared" si="3"/>
        <v>2</v>
      </c>
      <c r="G76" s="1" t="s">
        <v>43</v>
      </c>
      <c r="H76" s="1" t="s">
        <v>118</v>
      </c>
      <c r="I76" s="1"/>
      <c r="J76" s="1" t="s">
        <v>264</v>
      </c>
    </row>
    <row r="77" spans="1:10" ht="30" customHeight="1">
      <c r="A77" s="1" t="s">
        <v>257</v>
      </c>
      <c r="B77" s="1" t="s">
        <v>265</v>
      </c>
      <c r="C77" s="1" t="s">
        <v>16</v>
      </c>
      <c r="D77" s="12">
        <v>1</v>
      </c>
      <c r="E77" s="7">
        <v>0</v>
      </c>
      <c r="F77" s="4">
        <f t="shared" si="3"/>
        <v>1</v>
      </c>
      <c r="G77" s="1" t="s">
        <v>49</v>
      </c>
      <c r="H77" s="1" t="s">
        <v>266</v>
      </c>
      <c r="I77" s="1"/>
      <c r="J77" s="1" t="s">
        <v>267</v>
      </c>
    </row>
    <row r="78" spans="1:10" ht="30" customHeight="1">
      <c r="A78" s="1" t="s">
        <v>257</v>
      </c>
      <c r="B78" s="1" t="s">
        <v>268</v>
      </c>
      <c r="C78" s="1" t="s">
        <v>12</v>
      </c>
      <c r="D78" s="12">
        <v>180</v>
      </c>
      <c r="E78" s="7">
        <v>0.1</v>
      </c>
      <c r="F78" s="4">
        <f t="shared" si="3"/>
        <v>198.00000000000003</v>
      </c>
      <c r="G78" s="11" t="s">
        <v>21</v>
      </c>
      <c r="H78" s="1" t="s">
        <v>269</v>
      </c>
      <c r="I78" s="1"/>
      <c r="J78" s="1" t="s">
        <v>270</v>
      </c>
    </row>
    <row r="79" spans="1:10" ht="30" customHeight="1">
      <c r="A79" s="1" t="s">
        <v>257</v>
      </c>
      <c r="B79" s="1" t="s">
        <v>271</v>
      </c>
      <c r="C79" s="1" t="s">
        <v>12</v>
      </c>
      <c r="D79" s="12">
        <v>120</v>
      </c>
      <c r="E79" s="7">
        <v>0.1</v>
      </c>
      <c r="F79" s="4">
        <f t="shared" si="3"/>
        <v>132</v>
      </c>
      <c r="G79" s="11" t="s">
        <v>21</v>
      </c>
      <c r="H79" s="1" t="s">
        <v>269</v>
      </c>
      <c r="I79" s="1"/>
      <c r="J79" s="1" t="s">
        <v>272</v>
      </c>
    </row>
    <row r="80" spans="1:10" ht="30" customHeight="1">
      <c r="A80" s="1" t="s">
        <v>257</v>
      </c>
      <c r="B80" s="1" t="s">
        <v>273</v>
      </c>
      <c r="C80" s="1" t="s">
        <v>12</v>
      </c>
      <c r="D80" s="12">
        <v>90</v>
      </c>
      <c r="E80" s="7">
        <v>0.1</v>
      </c>
      <c r="F80" s="4">
        <f t="shared" si="3"/>
        <v>99.000000000000014</v>
      </c>
      <c r="G80" s="11" t="s">
        <v>21</v>
      </c>
      <c r="H80" s="1" t="s">
        <v>274</v>
      </c>
      <c r="I80" s="1"/>
      <c r="J80" s="1" t="s">
        <v>275</v>
      </c>
    </row>
    <row r="81" spans="1:10" ht="30" customHeight="1">
      <c r="A81" s="1" t="s">
        <v>257</v>
      </c>
      <c r="B81" s="1" t="s">
        <v>276</v>
      </c>
      <c r="C81" s="1" t="s">
        <v>12</v>
      </c>
      <c r="D81" s="12">
        <v>45</v>
      </c>
      <c r="E81" s="7">
        <v>0.1</v>
      </c>
      <c r="F81" s="4">
        <f t="shared" si="3"/>
        <v>49.500000000000007</v>
      </c>
      <c r="G81" s="11" t="s">
        <v>21</v>
      </c>
      <c r="H81" s="1" t="s">
        <v>277</v>
      </c>
      <c r="I81" s="1"/>
      <c r="J81" s="1" t="s">
        <v>278</v>
      </c>
    </row>
    <row r="82" spans="1:10" ht="30" customHeight="1">
      <c r="A82" s="1" t="s">
        <v>257</v>
      </c>
      <c r="B82" s="1" t="s">
        <v>279</v>
      </c>
      <c r="C82" s="1" t="s">
        <v>16</v>
      </c>
      <c r="D82" s="12">
        <v>3</v>
      </c>
      <c r="E82" s="7">
        <v>0</v>
      </c>
      <c r="F82" s="4">
        <f t="shared" si="3"/>
        <v>3</v>
      </c>
      <c r="G82" s="11" t="s">
        <v>21</v>
      </c>
      <c r="H82" s="1" t="s">
        <v>274</v>
      </c>
      <c r="I82" s="1"/>
      <c r="J82" s="1" t="s">
        <v>280</v>
      </c>
    </row>
    <row r="83" spans="1:10" ht="30" customHeight="1">
      <c r="A83" s="1" t="s">
        <v>257</v>
      </c>
      <c r="B83" s="1" t="s">
        <v>281</v>
      </c>
      <c r="C83" s="1" t="s">
        <v>246</v>
      </c>
      <c r="D83" s="12">
        <v>1</v>
      </c>
      <c r="E83" s="7">
        <v>0</v>
      </c>
      <c r="F83" s="4">
        <f t="shared" si="3"/>
        <v>1</v>
      </c>
      <c r="G83" s="11" t="s">
        <v>251</v>
      </c>
      <c r="H83" s="1" t="s">
        <v>282</v>
      </c>
      <c r="I83" s="1"/>
      <c r="J83" s="1" t="s">
        <v>283</v>
      </c>
    </row>
    <row r="84" spans="1:10" ht="30" customHeight="1">
      <c r="A84" s="1" t="s">
        <v>257</v>
      </c>
      <c r="B84" s="1" t="s">
        <v>284</v>
      </c>
      <c r="C84" s="1" t="s">
        <v>16</v>
      </c>
      <c r="D84" s="4"/>
      <c r="E84" s="7">
        <v>0</v>
      </c>
      <c r="F84" s="4"/>
      <c r="G84" s="11" t="s">
        <v>255</v>
      </c>
      <c r="H84" s="1" t="s">
        <v>118</v>
      </c>
      <c r="I84" s="1"/>
      <c r="J84" s="1" t="s">
        <v>285</v>
      </c>
    </row>
    <row r="85" spans="1:10" ht="30" customHeight="1">
      <c r="A85" s="1" t="s">
        <v>286</v>
      </c>
      <c r="B85" s="1" t="s">
        <v>287</v>
      </c>
      <c r="C85" s="1" t="s">
        <v>16</v>
      </c>
      <c r="D85" s="12">
        <v>1</v>
      </c>
      <c r="E85" s="7">
        <v>0</v>
      </c>
      <c r="F85" s="4">
        <f t="shared" ref="F85:F101" si="4">D85*(1+E85)</f>
        <v>1</v>
      </c>
      <c r="G85" s="1" t="s">
        <v>49</v>
      </c>
      <c r="H85" s="1" t="s">
        <v>288</v>
      </c>
      <c r="I85" s="1"/>
      <c r="J85" s="1" t="s">
        <v>289</v>
      </c>
    </row>
    <row r="86" spans="1:10" ht="30" customHeight="1">
      <c r="A86" s="1" t="s">
        <v>286</v>
      </c>
      <c r="B86" s="1" t="s">
        <v>290</v>
      </c>
      <c r="C86" s="1" t="s">
        <v>263</v>
      </c>
      <c r="D86" s="12">
        <v>1</v>
      </c>
      <c r="E86" s="7">
        <v>0</v>
      </c>
      <c r="F86" s="4">
        <f t="shared" si="4"/>
        <v>1</v>
      </c>
      <c r="G86" s="1" t="s">
        <v>49</v>
      </c>
      <c r="H86" s="1" t="s">
        <v>288</v>
      </c>
      <c r="I86" s="1"/>
      <c r="J86" s="1" t="s">
        <v>291</v>
      </c>
    </row>
    <row r="87" spans="1:10" ht="30" customHeight="1">
      <c r="A87" s="1" t="s">
        <v>286</v>
      </c>
      <c r="B87" s="1" t="s">
        <v>292</v>
      </c>
      <c r="C87" s="1" t="s">
        <v>16</v>
      </c>
      <c r="D87" s="12">
        <v>1</v>
      </c>
      <c r="E87" s="7">
        <v>0</v>
      </c>
      <c r="F87" s="4">
        <f t="shared" si="4"/>
        <v>1</v>
      </c>
      <c r="G87" s="1" t="s">
        <v>49</v>
      </c>
      <c r="H87" s="1" t="s">
        <v>288</v>
      </c>
      <c r="I87" s="1"/>
      <c r="J87" s="1" t="s">
        <v>293</v>
      </c>
    </row>
    <row r="88" spans="1:10" ht="30" customHeight="1">
      <c r="A88" s="1" t="s">
        <v>286</v>
      </c>
      <c r="B88" s="1" t="s">
        <v>294</v>
      </c>
      <c r="C88" s="1" t="s">
        <v>263</v>
      </c>
      <c r="D88" s="12">
        <v>1</v>
      </c>
      <c r="E88" s="7">
        <v>0</v>
      </c>
      <c r="F88" s="4">
        <f t="shared" si="4"/>
        <v>1</v>
      </c>
      <c r="G88" s="1" t="s">
        <v>49</v>
      </c>
      <c r="H88" s="1" t="s">
        <v>295</v>
      </c>
      <c r="I88" s="1"/>
      <c r="J88" s="1" t="s">
        <v>296</v>
      </c>
    </row>
    <row r="89" spans="1:10" ht="30" customHeight="1">
      <c r="A89" s="1" t="s">
        <v>286</v>
      </c>
      <c r="B89" s="1" t="s">
        <v>297</v>
      </c>
      <c r="C89" s="1" t="s">
        <v>16</v>
      </c>
      <c r="D89" s="12">
        <v>2</v>
      </c>
      <c r="E89" s="7">
        <v>0</v>
      </c>
      <c r="F89" s="4">
        <f t="shared" si="4"/>
        <v>2</v>
      </c>
      <c r="G89" s="1" t="s">
        <v>43</v>
      </c>
      <c r="H89" s="1" t="s">
        <v>118</v>
      </c>
      <c r="I89" s="1"/>
      <c r="J89" s="1" t="s">
        <v>298</v>
      </c>
    </row>
    <row r="90" spans="1:10" ht="30" customHeight="1">
      <c r="A90" s="1" t="s">
        <v>286</v>
      </c>
      <c r="B90" s="1" t="s">
        <v>299</v>
      </c>
      <c r="C90" s="1" t="s">
        <v>12</v>
      </c>
      <c r="D90" s="12">
        <v>30</v>
      </c>
      <c r="E90" s="7">
        <v>0.1</v>
      </c>
      <c r="F90" s="4">
        <f t="shared" si="4"/>
        <v>33</v>
      </c>
      <c r="G90" s="11" t="s">
        <v>21</v>
      </c>
      <c r="H90" s="1" t="s">
        <v>300</v>
      </c>
      <c r="I90" s="1"/>
      <c r="J90" s="1" t="s">
        <v>301</v>
      </c>
    </row>
    <row r="91" spans="1:10" ht="30" customHeight="1">
      <c r="A91" s="1" t="s">
        <v>286</v>
      </c>
      <c r="B91" s="1" t="s">
        <v>302</v>
      </c>
      <c r="C91" s="1" t="s">
        <v>16</v>
      </c>
      <c r="D91" s="12">
        <v>4</v>
      </c>
      <c r="E91" s="7">
        <v>0</v>
      </c>
      <c r="F91" s="4">
        <f t="shared" si="4"/>
        <v>4</v>
      </c>
      <c r="G91" s="11" t="s">
        <v>21</v>
      </c>
      <c r="H91" s="1" t="s">
        <v>303</v>
      </c>
      <c r="I91" s="1"/>
      <c r="J91" s="1" t="s">
        <v>304</v>
      </c>
    </row>
    <row r="92" spans="1:10" ht="30" customHeight="1">
      <c r="A92" s="1" t="s">
        <v>286</v>
      </c>
      <c r="B92" s="1" t="s">
        <v>305</v>
      </c>
      <c r="C92" s="1" t="s">
        <v>12</v>
      </c>
      <c r="D92" s="12">
        <v>100</v>
      </c>
      <c r="E92" s="7">
        <v>0.1</v>
      </c>
      <c r="F92" s="4">
        <f t="shared" si="4"/>
        <v>110.00000000000001</v>
      </c>
      <c r="G92" s="11" t="s">
        <v>21</v>
      </c>
      <c r="H92" s="1" t="s">
        <v>303</v>
      </c>
      <c r="I92" s="1"/>
      <c r="J92" s="1" t="s">
        <v>306</v>
      </c>
    </row>
    <row r="93" spans="1:10" ht="30" customHeight="1">
      <c r="A93" s="1" t="s">
        <v>286</v>
      </c>
      <c r="B93" s="1" t="s">
        <v>307</v>
      </c>
      <c r="C93" s="1" t="s">
        <v>246</v>
      </c>
      <c r="D93" s="12">
        <v>1</v>
      </c>
      <c r="E93" s="7">
        <v>0</v>
      </c>
      <c r="F93" s="4">
        <f t="shared" si="4"/>
        <v>1</v>
      </c>
      <c r="G93" s="11" t="s">
        <v>251</v>
      </c>
      <c r="H93" s="1" t="s">
        <v>282</v>
      </c>
      <c r="I93" s="1"/>
      <c r="J93" s="1" t="s">
        <v>308</v>
      </c>
    </row>
    <row r="94" spans="1:10" ht="30" customHeight="1">
      <c r="A94" s="1" t="s">
        <v>286</v>
      </c>
      <c r="B94" s="1" t="s">
        <v>309</v>
      </c>
      <c r="C94" s="1" t="s">
        <v>246</v>
      </c>
      <c r="D94" s="12">
        <v>1</v>
      </c>
      <c r="E94" s="7">
        <v>0</v>
      </c>
      <c r="F94" s="4">
        <f t="shared" si="4"/>
        <v>1</v>
      </c>
      <c r="G94" s="11" t="s">
        <v>251</v>
      </c>
      <c r="H94" s="1" t="s">
        <v>282</v>
      </c>
      <c r="I94" s="1"/>
      <c r="J94" s="1" t="s">
        <v>310</v>
      </c>
    </row>
    <row r="95" spans="1:10" ht="30" customHeight="1">
      <c r="A95" s="1" t="s">
        <v>286</v>
      </c>
      <c r="B95" s="1" t="s">
        <v>311</v>
      </c>
      <c r="C95" s="1" t="s">
        <v>246</v>
      </c>
      <c r="D95" s="12">
        <v>1</v>
      </c>
      <c r="E95" s="7">
        <v>0</v>
      </c>
      <c r="F95" s="4">
        <f t="shared" si="4"/>
        <v>1</v>
      </c>
      <c r="G95" s="1" t="s">
        <v>312</v>
      </c>
      <c r="H95" s="1" t="s">
        <v>313</v>
      </c>
      <c r="I95" s="1"/>
      <c r="J95" s="1" t="s">
        <v>314</v>
      </c>
    </row>
    <row r="96" spans="1:10" ht="30" customHeight="1">
      <c r="A96" s="1" t="s">
        <v>315</v>
      </c>
      <c r="B96" s="1" t="s">
        <v>316</v>
      </c>
      <c r="C96" s="1" t="s">
        <v>8</v>
      </c>
      <c r="D96" s="4">
        <f>Measurements!B13-Measurements!B14</f>
        <v>556</v>
      </c>
      <c r="E96" s="7">
        <v>0.1</v>
      </c>
      <c r="F96" s="4">
        <f t="shared" si="4"/>
        <v>611.6</v>
      </c>
      <c r="G96" s="1" t="s">
        <v>49</v>
      </c>
      <c r="H96" s="1" t="s">
        <v>317</v>
      </c>
      <c r="I96" s="1"/>
      <c r="J96" s="1" t="s">
        <v>318</v>
      </c>
    </row>
    <row r="97" spans="1:10" ht="30" customHeight="1">
      <c r="A97" s="1" t="s">
        <v>315</v>
      </c>
      <c r="B97" s="1" t="s">
        <v>319</v>
      </c>
      <c r="C97" s="1" t="s">
        <v>8</v>
      </c>
      <c r="D97" s="4">
        <f>Measurements!B5</f>
        <v>563</v>
      </c>
      <c r="E97" s="7">
        <v>0.1</v>
      </c>
      <c r="F97" s="4">
        <f t="shared" si="4"/>
        <v>619.30000000000007</v>
      </c>
      <c r="G97" s="1" t="s">
        <v>49</v>
      </c>
      <c r="H97" s="1" t="s">
        <v>317</v>
      </c>
      <c r="I97" s="1"/>
      <c r="J97" s="1" t="s">
        <v>320</v>
      </c>
    </row>
    <row r="98" spans="1:10" ht="30" customHeight="1">
      <c r="A98" s="1" t="s">
        <v>321</v>
      </c>
      <c r="B98" s="1" t="s">
        <v>322</v>
      </c>
      <c r="C98" s="1" t="s">
        <v>16</v>
      </c>
      <c r="D98" s="12">
        <v>4</v>
      </c>
      <c r="E98" s="7">
        <v>0</v>
      </c>
      <c r="F98" s="4">
        <f t="shared" si="4"/>
        <v>4</v>
      </c>
      <c r="G98" s="1" t="s">
        <v>43</v>
      </c>
      <c r="H98" s="1" t="s">
        <v>118</v>
      </c>
      <c r="I98" s="1"/>
      <c r="J98" s="1" t="s">
        <v>323</v>
      </c>
    </row>
    <row r="99" spans="1:10" ht="30" customHeight="1">
      <c r="A99" s="1" t="s">
        <v>321</v>
      </c>
      <c r="B99" s="1" t="s">
        <v>324</v>
      </c>
      <c r="C99" s="1" t="s">
        <v>16</v>
      </c>
      <c r="D99" s="12">
        <v>2</v>
      </c>
      <c r="E99" s="7">
        <v>0</v>
      </c>
      <c r="F99" s="4">
        <f t="shared" si="4"/>
        <v>2</v>
      </c>
      <c r="G99" s="1" t="s">
        <v>43</v>
      </c>
      <c r="H99" s="1" t="s">
        <v>118</v>
      </c>
      <c r="I99" s="1"/>
      <c r="J99" s="1" t="s">
        <v>325</v>
      </c>
    </row>
    <row r="100" spans="1:10" ht="30" customHeight="1">
      <c r="A100" s="1" t="s">
        <v>321</v>
      </c>
      <c r="B100" s="1" t="s">
        <v>326</v>
      </c>
      <c r="C100" s="1" t="s">
        <v>16</v>
      </c>
      <c r="D100" s="4">
        <f>Measurements!B15</f>
        <v>6</v>
      </c>
      <c r="E100" s="7">
        <v>0</v>
      </c>
      <c r="F100" s="4">
        <f t="shared" si="4"/>
        <v>6</v>
      </c>
      <c r="G100" s="1" t="s">
        <v>43</v>
      </c>
      <c r="H100" s="1" t="s">
        <v>118</v>
      </c>
      <c r="I100" s="1"/>
      <c r="J100" s="1" t="s">
        <v>327</v>
      </c>
    </row>
    <row r="101" spans="1:10" ht="30" customHeight="1">
      <c r="A101" s="1" t="s">
        <v>321</v>
      </c>
      <c r="B101" s="1" t="s">
        <v>328</v>
      </c>
      <c r="C101" s="1" t="s">
        <v>263</v>
      </c>
      <c r="D101" s="12">
        <v>2</v>
      </c>
      <c r="E101" s="7">
        <v>0</v>
      </c>
      <c r="F101" s="4">
        <f t="shared" si="4"/>
        <v>2</v>
      </c>
      <c r="G101" s="1" t="s">
        <v>329</v>
      </c>
      <c r="H101" s="1" t="s">
        <v>163</v>
      </c>
      <c r="I101" s="1"/>
      <c r="J101" s="1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49" customWidth="1"/>
    <col min="2" max="2" width="14" customWidth="1"/>
    <col min="3" max="3" width="12" customWidth="1"/>
    <col min="4" max="4" width="26" customWidth="1"/>
    <col min="5" max="5" width="39" customWidth="1"/>
    <col min="6" max="6" width="117" customWidth="1"/>
  </cols>
  <sheetData>
    <row r="1" spans="1:6" ht="30" customHeight="1">
      <c r="A1" s="1"/>
      <c r="B1" s="1"/>
      <c r="C1" s="1"/>
      <c r="D1" s="1"/>
      <c r="E1" s="1"/>
      <c r="F1" s="1"/>
    </row>
    <row r="2" spans="1:6" ht="33.950000000000003" customHeight="1">
      <c r="A2" s="2" t="s">
        <v>331</v>
      </c>
      <c r="B2" s="2"/>
      <c r="C2" s="2"/>
      <c r="D2" s="2"/>
      <c r="E2" s="2"/>
      <c r="F2" s="2"/>
    </row>
    <row r="3" spans="1:6" ht="30" customHeight="1">
      <c r="A3" s="1"/>
      <c r="B3" s="1"/>
      <c r="C3" s="1"/>
      <c r="D3" s="1"/>
      <c r="E3" s="1"/>
      <c r="F3" s="1"/>
    </row>
    <row r="4" spans="1:6" ht="32.1" customHeight="1">
      <c r="A4" s="3" t="s">
        <v>332</v>
      </c>
      <c r="B4" s="3" t="s">
        <v>333</v>
      </c>
      <c r="C4" s="3" t="s">
        <v>4</v>
      </c>
      <c r="D4" s="3" t="s">
        <v>5</v>
      </c>
      <c r="E4" s="3" t="s">
        <v>69</v>
      </c>
      <c r="F4" s="3" t="s">
        <v>70</v>
      </c>
    </row>
    <row r="5" spans="1:6" ht="30" customHeight="1">
      <c r="A5" s="1" t="s">
        <v>334</v>
      </c>
      <c r="B5" s="13">
        <v>563</v>
      </c>
      <c r="C5" s="1" t="s">
        <v>8</v>
      </c>
      <c r="D5" s="1" t="s">
        <v>9</v>
      </c>
      <c r="E5" s="1" t="s">
        <v>335</v>
      </c>
      <c r="F5" s="1" t="s">
        <v>336</v>
      </c>
    </row>
    <row r="6" spans="1:6" ht="30" customHeight="1">
      <c r="A6" s="1" t="s">
        <v>337</v>
      </c>
      <c r="B6" s="13">
        <v>908</v>
      </c>
      <c r="C6" s="1" t="s">
        <v>8</v>
      </c>
      <c r="D6" s="1" t="s">
        <v>9</v>
      </c>
      <c r="E6" s="1" t="s">
        <v>335</v>
      </c>
      <c r="F6" s="1" t="s">
        <v>338</v>
      </c>
    </row>
    <row r="7" spans="1:6" ht="30" customHeight="1">
      <c r="A7" s="1" t="s">
        <v>339</v>
      </c>
      <c r="B7" s="13">
        <v>8</v>
      </c>
      <c r="C7" s="1" t="s">
        <v>340</v>
      </c>
      <c r="D7" s="1" t="s">
        <v>9</v>
      </c>
      <c r="E7" s="1" t="s">
        <v>341</v>
      </c>
      <c r="F7" s="1" t="s">
        <v>342</v>
      </c>
    </row>
    <row r="8" spans="1:6" ht="30" customHeight="1">
      <c r="A8" s="1" t="s">
        <v>343</v>
      </c>
      <c r="B8" s="13">
        <v>77</v>
      </c>
      <c r="C8" s="1" t="s">
        <v>12</v>
      </c>
      <c r="D8" s="1" t="s">
        <v>73</v>
      </c>
      <c r="E8" s="1" t="s">
        <v>344</v>
      </c>
      <c r="F8" s="1" t="s">
        <v>345</v>
      </c>
    </row>
    <row r="9" spans="1:6" ht="30" customHeight="1">
      <c r="A9" s="1" t="s">
        <v>346</v>
      </c>
      <c r="B9" s="13">
        <v>22.3</v>
      </c>
      <c r="C9" s="1" t="s">
        <v>12</v>
      </c>
      <c r="D9" s="1" t="s">
        <v>73</v>
      </c>
      <c r="E9" s="1" t="s">
        <v>74</v>
      </c>
      <c r="F9" s="1" t="s">
        <v>347</v>
      </c>
    </row>
    <row r="10" spans="1:6" ht="30" customHeight="1">
      <c r="A10" s="1" t="s">
        <v>348</v>
      </c>
      <c r="B10" s="13">
        <v>25.8</v>
      </c>
      <c r="C10" s="1" t="s">
        <v>12</v>
      </c>
      <c r="D10" s="1" t="s">
        <v>73</v>
      </c>
      <c r="E10" s="1" t="s">
        <v>349</v>
      </c>
      <c r="F10" s="1" t="s">
        <v>350</v>
      </c>
    </row>
    <row r="11" spans="1:6" ht="30" customHeight="1">
      <c r="A11" s="1" t="s">
        <v>351</v>
      </c>
      <c r="B11" s="13">
        <v>64.2</v>
      </c>
      <c r="C11" s="1" t="s">
        <v>12</v>
      </c>
      <c r="D11" s="1" t="s">
        <v>73</v>
      </c>
      <c r="E11" s="1" t="s">
        <v>118</v>
      </c>
      <c r="F11" s="1" t="s">
        <v>352</v>
      </c>
    </row>
    <row r="12" spans="1:6" ht="30" customHeight="1">
      <c r="A12" s="1" t="s">
        <v>353</v>
      </c>
      <c r="B12" s="13">
        <v>18.3</v>
      </c>
      <c r="C12" s="1" t="s">
        <v>12</v>
      </c>
      <c r="D12" s="1" t="s">
        <v>73</v>
      </c>
      <c r="E12" s="1" t="s">
        <v>118</v>
      </c>
      <c r="F12" s="1" t="s">
        <v>354</v>
      </c>
    </row>
    <row r="13" spans="1:6" ht="30" customHeight="1">
      <c r="A13" s="1" t="s">
        <v>355</v>
      </c>
      <c r="B13" s="13">
        <v>613</v>
      </c>
      <c r="C13" s="1" t="s">
        <v>8</v>
      </c>
      <c r="D13" s="1" t="s">
        <v>9</v>
      </c>
      <c r="E13" s="1" t="s">
        <v>356</v>
      </c>
      <c r="F13" s="1" t="s">
        <v>357</v>
      </c>
    </row>
    <row r="14" spans="1:6" ht="30" customHeight="1">
      <c r="A14" s="1" t="s">
        <v>358</v>
      </c>
      <c r="B14" s="13">
        <v>57</v>
      </c>
      <c r="C14" s="1" t="s">
        <v>8</v>
      </c>
      <c r="D14" s="1" t="s">
        <v>359</v>
      </c>
      <c r="E14" s="1" t="s">
        <v>118</v>
      </c>
      <c r="F14" s="1" t="s">
        <v>360</v>
      </c>
    </row>
    <row r="15" spans="1:6" ht="30" customHeight="1">
      <c r="A15" s="1" t="s">
        <v>361</v>
      </c>
      <c r="B15" s="13">
        <v>6</v>
      </c>
      <c r="C15" s="1" t="s">
        <v>16</v>
      </c>
      <c r="D15" s="1" t="s">
        <v>43</v>
      </c>
      <c r="E15" s="1" t="s">
        <v>118</v>
      </c>
      <c r="F15" s="1" t="s">
        <v>362</v>
      </c>
    </row>
    <row r="16" spans="1:6" ht="30" customHeight="1">
      <c r="A16" s="1" t="s">
        <v>363</v>
      </c>
      <c r="B16" s="13">
        <v>2.6666666666666665</v>
      </c>
      <c r="C16" s="1" t="s">
        <v>340</v>
      </c>
      <c r="D16" s="1" t="s">
        <v>9</v>
      </c>
      <c r="E16" s="1" t="s">
        <v>364</v>
      </c>
      <c r="F16" s="1" t="s">
        <v>365</v>
      </c>
    </row>
    <row r="17" spans="1:6" ht="30" customHeight="1">
      <c r="A17" s="1" t="s">
        <v>366</v>
      </c>
      <c r="B17" s="13">
        <v>6.666666666666667</v>
      </c>
      <c r="C17" s="1" t="s">
        <v>340</v>
      </c>
      <c r="D17" s="1" t="s">
        <v>9</v>
      </c>
      <c r="E17" s="1" t="s">
        <v>364</v>
      </c>
      <c r="F17" s="1" t="s">
        <v>367</v>
      </c>
    </row>
    <row r="18" spans="1:6" ht="30" customHeight="1">
      <c r="A18" s="1" t="s">
        <v>368</v>
      </c>
      <c r="B18" s="13">
        <v>66</v>
      </c>
      <c r="C18" s="1" t="s">
        <v>8</v>
      </c>
      <c r="D18" s="1" t="s">
        <v>21</v>
      </c>
      <c r="E18" s="1" t="s">
        <v>369</v>
      </c>
      <c r="F18" s="1" t="s">
        <v>370</v>
      </c>
    </row>
    <row r="19" spans="1:6" ht="30" customHeight="1">
      <c r="A19" s="1" t="s">
        <v>371</v>
      </c>
      <c r="B19" s="13">
        <v>65</v>
      </c>
      <c r="C19" s="1" t="s">
        <v>8</v>
      </c>
      <c r="D19" s="1" t="s">
        <v>21</v>
      </c>
      <c r="E19" s="1" t="s">
        <v>118</v>
      </c>
      <c r="F19" s="1" t="s">
        <v>372</v>
      </c>
    </row>
    <row r="20" spans="1:6" ht="30" customHeight="1">
      <c r="A20" s="1" t="s">
        <v>373</v>
      </c>
      <c r="B20" s="13">
        <v>525</v>
      </c>
      <c r="C20" s="1" t="s">
        <v>8</v>
      </c>
      <c r="D20" s="1" t="s">
        <v>73</v>
      </c>
      <c r="E20" s="1" t="s">
        <v>118</v>
      </c>
      <c r="F20" s="1" t="s">
        <v>374</v>
      </c>
    </row>
    <row r="21" spans="1:6" ht="30" customHeight="1">
      <c r="A21" s="1" t="s">
        <v>375</v>
      </c>
      <c r="B21" s="13">
        <v>108.3</v>
      </c>
      <c r="C21" s="1" t="s">
        <v>8</v>
      </c>
      <c r="D21" s="1" t="s">
        <v>376</v>
      </c>
      <c r="E21" s="1" t="s">
        <v>118</v>
      </c>
      <c r="F21" s="1" t="s">
        <v>377</v>
      </c>
    </row>
    <row r="22" spans="1:6" ht="30" customHeight="1">
      <c r="A22" s="1" t="s">
        <v>378</v>
      </c>
      <c r="B22" s="13">
        <v>15</v>
      </c>
      <c r="C22" s="1" t="s">
        <v>8</v>
      </c>
      <c r="D22" s="1" t="s">
        <v>21</v>
      </c>
      <c r="E22" s="1" t="s">
        <v>118</v>
      </c>
      <c r="F22" s="1" t="s">
        <v>379</v>
      </c>
    </row>
    <row r="23" spans="1:6" ht="30" customHeight="1">
      <c r="A23" s="1" t="s">
        <v>380</v>
      </c>
      <c r="B23" s="13">
        <v>65</v>
      </c>
      <c r="C23" s="1" t="s">
        <v>8</v>
      </c>
      <c r="D23" s="1" t="s">
        <v>21</v>
      </c>
      <c r="E23" s="1" t="s">
        <v>118</v>
      </c>
      <c r="F23" s="1" t="s">
        <v>381</v>
      </c>
    </row>
    <row r="24" spans="1:6" ht="30" customHeight="1">
      <c r="A24" s="1" t="s">
        <v>382</v>
      </c>
      <c r="B24" s="13">
        <v>605</v>
      </c>
      <c r="C24" s="1" t="s">
        <v>8</v>
      </c>
      <c r="D24" s="1" t="s">
        <v>73</v>
      </c>
      <c r="E24" s="1" t="s">
        <v>180</v>
      </c>
      <c r="F24" s="1" t="s">
        <v>383</v>
      </c>
    </row>
    <row r="25" spans="1:6" ht="30" customHeight="1">
      <c r="A25" s="1" t="s">
        <v>384</v>
      </c>
      <c r="B25" s="13">
        <v>1595</v>
      </c>
      <c r="C25" s="1" t="s">
        <v>8</v>
      </c>
      <c r="D25" s="1" t="s">
        <v>73</v>
      </c>
      <c r="E25" s="1" t="s">
        <v>180</v>
      </c>
      <c r="F25" s="1" t="s">
        <v>385</v>
      </c>
    </row>
    <row r="26" spans="1:6" ht="30" customHeight="1">
      <c r="A26" s="1" t="s">
        <v>386</v>
      </c>
      <c r="B26" s="13">
        <v>5</v>
      </c>
      <c r="C26" s="1" t="s">
        <v>387</v>
      </c>
      <c r="D26" s="1" t="s">
        <v>9</v>
      </c>
      <c r="E26" s="1" t="s">
        <v>388</v>
      </c>
      <c r="F26" s="1" t="s">
        <v>389</v>
      </c>
    </row>
    <row r="27" spans="1:6" ht="30" customHeight="1">
      <c r="A27" s="1" t="s">
        <v>390</v>
      </c>
      <c r="B27" s="13">
        <v>4.75</v>
      </c>
      <c r="C27" s="1" t="s">
        <v>387</v>
      </c>
      <c r="D27" s="1" t="s">
        <v>21</v>
      </c>
      <c r="E27" s="1" t="s">
        <v>388</v>
      </c>
      <c r="F27" s="1" t="s">
        <v>391</v>
      </c>
    </row>
    <row r="28" spans="1:6" ht="30" customHeight="1">
      <c r="A28" s="1" t="s">
        <v>392</v>
      </c>
      <c r="B28" s="7">
        <v>0.1</v>
      </c>
      <c r="C28" s="1" t="s">
        <v>393</v>
      </c>
      <c r="D28" s="1" t="s">
        <v>21</v>
      </c>
      <c r="E28" s="1" t="s">
        <v>239</v>
      </c>
      <c r="F28" s="1" t="s">
        <v>394</v>
      </c>
    </row>
    <row r="29" spans="1:6" ht="30" customHeight="1">
      <c r="A29" s="1" t="s">
        <v>395</v>
      </c>
      <c r="B29" s="7">
        <v>0.15</v>
      </c>
      <c r="C29" s="1" t="s">
        <v>393</v>
      </c>
      <c r="D29" s="1" t="s">
        <v>21</v>
      </c>
      <c r="E29" s="1" t="s">
        <v>239</v>
      </c>
      <c r="F29" s="1" t="s">
        <v>396</v>
      </c>
    </row>
    <row r="30" spans="1:6" ht="30" customHeight="1">
      <c r="A30" s="1" t="s">
        <v>397</v>
      </c>
      <c r="B30" s="7">
        <v>0.1</v>
      </c>
      <c r="C30" s="1" t="s">
        <v>393</v>
      </c>
      <c r="D30" s="1" t="s">
        <v>21</v>
      </c>
      <c r="E30" s="1" t="s">
        <v>239</v>
      </c>
      <c r="F30" s="1" t="s">
        <v>398</v>
      </c>
    </row>
    <row r="31" spans="1:6" ht="30" customHeight="1">
      <c r="A31" s="1" t="s">
        <v>399</v>
      </c>
      <c r="B31" s="13">
        <v>1</v>
      </c>
      <c r="C31" s="1" t="s">
        <v>340</v>
      </c>
      <c r="D31" s="1" t="s">
        <v>9</v>
      </c>
      <c r="E31" s="1" t="s">
        <v>400</v>
      </c>
      <c r="F31" s="1" t="s">
        <v>401</v>
      </c>
    </row>
    <row r="32" spans="1:6" ht="30" customHeight="1">
      <c r="A32" s="1" t="s">
        <v>402</v>
      </c>
      <c r="B32" s="13">
        <v>2</v>
      </c>
      <c r="C32" s="1" t="s">
        <v>340</v>
      </c>
      <c r="D32" s="1" t="s">
        <v>9</v>
      </c>
      <c r="E32" s="1" t="s">
        <v>400</v>
      </c>
      <c r="F32" s="1" t="s">
        <v>403</v>
      </c>
    </row>
    <row r="33" spans="1:6" ht="30" customHeight="1">
      <c r="A33" s="1" t="s">
        <v>404</v>
      </c>
      <c r="B33" s="13">
        <v>6</v>
      </c>
      <c r="C33" s="1" t="s">
        <v>405</v>
      </c>
      <c r="D33" s="1" t="s">
        <v>87</v>
      </c>
      <c r="E33" s="1" t="s">
        <v>406</v>
      </c>
      <c r="F33" s="1" t="s">
        <v>407</v>
      </c>
    </row>
    <row r="34" spans="1:6" ht="30" customHeight="1">
      <c r="A34" s="1" t="s">
        <v>408</v>
      </c>
      <c r="B34" s="13">
        <v>1.5</v>
      </c>
      <c r="C34" s="1" t="s">
        <v>340</v>
      </c>
      <c r="D34" s="1" t="s">
        <v>9</v>
      </c>
      <c r="E34" s="1" t="s">
        <v>409</v>
      </c>
      <c r="F34" s="1" t="s">
        <v>410</v>
      </c>
    </row>
    <row r="35" spans="1:6" ht="30" customHeight="1">
      <c r="A35" s="1" t="s">
        <v>411</v>
      </c>
      <c r="B35" s="13">
        <v>2</v>
      </c>
      <c r="C35" s="1" t="s">
        <v>16</v>
      </c>
      <c r="D35" s="1" t="s">
        <v>43</v>
      </c>
      <c r="E35" s="1" t="s">
        <v>74</v>
      </c>
      <c r="F35" s="1" t="s">
        <v>412</v>
      </c>
    </row>
    <row r="36" spans="1:6" ht="30" customHeight="1">
      <c r="A36" s="1" t="s">
        <v>413</v>
      </c>
      <c r="B36" s="13">
        <v>2</v>
      </c>
      <c r="C36" s="1" t="s">
        <v>340</v>
      </c>
      <c r="D36" s="1" t="s">
        <v>87</v>
      </c>
      <c r="E36" s="1" t="s">
        <v>414</v>
      </c>
      <c r="F36" s="1" t="s">
        <v>415</v>
      </c>
    </row>
    <row r="37" spans="1:6" ht="30" customHeight="1">
      <c r="A37" s="1" t="s">
        <v>416</v>
      </c>
      <c r="B37" s="13">
        <v>2</v>
      </c>
      <c r="C37" s="1" t="s">
        <v>340</v>
      </c>
      <c r="D37" s="1" t="s">
        <v>9</v>
      </c>
      <c r="E37" s="1" t="s">
        <v>417</v>
      </c>
      <c r="F37" s="1" t="s">
        <v>418</v>
      </c>
    </row>
    <row r="38" spans="1:6" ht="30" customHeight="1">
      <c r="A38" s="1" t="s">
        <v>419</v>
      </c>
      <c r="B38" s="13">
        <v>4</v>
      </c>
      <c r="C38" s="1" t="s">
        <v>405</v>
      </c>
      <c r="D38" s="1" t="s">
        <v>9</v>
      </c>
      <c r="E38" s="1" t="s">
        <v>406</v>
      </c>
      <c r="F38" s="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Trade takeoff</vt:lpstr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Leon</dc:creator>
  <cp:lastModifiedBy>Robert Leon</cp:lastModifiedBy>
  <dcterms:created xsi:type="dcterms:W3CDTF">2026-09-30T03:01:13Z</dcterms:created>
  <dcterms:modified xsi:type="dcterms:W3CDTF">2026-09-30T03:01:13Z</dcterms:modified>
</cp:coreProperties>
</file>